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 Lookup" sheetId="1" state="visible" r:id="rId1"/>
    <sheet xmlns:r="http://schemas.openxmlformats.org/officeDocument/2006/relationships" name="Code Database" sheetId="2" state="visible" r:id="rId2"/>
    <sheet xmlns:r="http://schemas.openxmlformats.org/officeDocument/2006/relationships" name="Required History" sheetId="3" state="visible" r:id="rId3"/>
    <sheet xmlns:r="http://schemas.openxmlformats.org/officeDocument/2006/relationships" name="Cannot Be Together" sheetId="4" state="visible" r:id="rId4"/>
    <sheet xmlns:r="http://schemas.openxmlformats.org/officeDocument/2006/relationships" name="Next Procedures" sheetId="5" state="visible" r:id="rId5"/>
    <sheet xmlns:r="http://schemas.openxmlformats.org/officeDocument/2006/relationships" name="Clinical Guidelines" sheetId="6" state="visible" r:id="rId6"/>
    <sheet xmlns:r="http://schemas.openxmlformats.org/officeDocument/2006/relationships" name="Denial Scenarios" sheetId="7" state="visible" r:id="rId7"/>
    <sheet xmlns:r="http://schemas.openxmlformats.org/officeDocument/2006/relationships" name="Full Denial Reference" sheetId="8" state="visible" r:id="rId8"/>
    <sheet xmlns:r="http://schemas.openxmlformats.org/officeDocument/2006/relationships" name="UHC Policies" sheetId="9" state="visible" r:id="rId9"/>
    <sheet xmlns:r="http://schemas.openxmlformats.org/officeDocument/2006/relationships" name="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cccccc"/>
      <sz val="10"/>
    </font>
    <font>
      <name val="Calibri"/>
      <b val="1"/>
      <color rgb="00FFFFFF"/>
      <sz val="13"/>
    </font>
    <font>
      <name val="Calibri"/>
      <b val="1"/>
      <color rgb="002c3e50"/>
      <sz val="11"/>
    </font>
    <font>
      <name val="Calibri"/>
      <b val="1"/>
      <color rgb="00003366"/>
      <sz val="14"/>
    </font>
    <font>
      <name val="Calibri"/>
      <color rgb="006c757d"/>
      <sz val="8"/>
    </font>
    <font>
      <name val="Calibri"/>
      <b val="1"/>
      <color rgb="00FFFFFF"/>
      <sz val="12"/>
    </font>
    <font>
      <name val="Calibri"/>
      <b val="1"/>
      <color rgb="00003366"/>
      <sz val="12"/>
    </font>
    <font>
      <name val="Calibri"/>
      <color rgb="002c3e50"/>
      <sz val="11"/>
    </font>
    <font>
      <name val="Calibri"/>
      <b val="1"/>
      <color rgb="00721c24"/>
      <sz val="10"/>
    </font>
    <font>
      <name val="Calibri"/>
      <b val="1"/>
      <color rgb="00FFFFFF"/>
      <sz val="10"/>
    </font>
    <font>
      <name val="Calibri"/>
      <i val="1"/>
      <color rgb="006c757d"/>
      <sz val="9"/>
    </font>
    <font>
      <name val="Calibri"/>
      <color rgb="006c757d"/>
      <sz val="9"/>
    </font>
    <font>
      <name val="Calibri"/>
      <b val="1"/>
      <color rgb="00003366"/>
      <sz val="11"/>
    </font>
    <font>
      <name val="Calibri"/>
      <sz val="10"/>
    </font>
    <font>
      <name val="Calibri"/>
      <color rgb="00721c24"/>
      <sz val="10"/>
    </font>
    <font>
      <name val="Calibri"/>
      <sz val="11"/>
    </font>
    <font>
      <name val="Calibri"/>
      <b val="1"/>
      <color rgb="00003366"/>
      <sz val="13"/>
    </font>
    <font>
      <name val="Calibri"/>
      <b val="1"/>
      <sz val="18"/>
    </font>
    <font>
      <name val="Calibri"/>
      <i val="1"/>
      <color rgb="00003366"/>
      <sz val="10"/>
    </font>
    <font>
      <name val="Calibri"/>
      <i val="1"/>
      <color rgb="00856404"/>
      <sz val="8"/>
    </font>
    <font>
      <name val="Calibri"/>
      <b val="1"/>
      <color rgb="00FFFFFF"/>
      <sz val="11"/>
    </font>
    <font>
      <name val="Calibri"/>
      <b val="1"/>
      <color rgb="00003366"/>
      <sz val="18"/>
    </font>
    <font>
      <name val="Calibri"/>
      <color rgb="006c757d"/>
      <sz val="11"/>
    </font>
    <font>
      <name val="Calibri"/>
      <color rgb="00721c24"/>
      <sz val="11"/>
    </font>
    <font>
      <name val="Calibri"/>
      <color rgb="00008080"/>
      <sz val="11"/>
    </font>
    <font>
      <name val="Calibri"/>
      <color rgb="00003366"/>
      <sz val="11"/>
    </font>
    <font>
      <name val="Calibri"/>
      <color rgb="00888888"/>
      <sz val="10"/>
    </font>
  </fonts>
  <fills count="1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004080"/>
        <bgColor rgb="00004080"/>
      </patternFill>
    </fill>
    <fill>
      <patternFill patternType="solid">
        <fgColor rgb="00f5f7fa"/>
        <bgColor rgb="00f5f7fa"/>
      </patternFill>
    </fill>
    <fill>
      <patternFill patternType="solid">
        <fgColor rgb="00eaf2fa"/>
        <bgColor rgb="00eaf2fa"/>
      </patternFill>
    </fill>
    <fill>
      <patternFill patternType="solid">
        <fgColor rgb="00FFFFFF"/>
        <bgColor rgb="00FFFFFF"/>
      </patternFill>
    </fill>
    <fill>
      <patternFill patternType="solid">
        <fgColor rgb="00285e8a"/>
        <bgColor rgb="00285e8a"/>
      </patternFill>
    </fill>
    <fill>
      <patternFill patternType="solid">
        <fgColor rgb="00b33c24"/>
        <bgColor rgb="00b33c24"/>
      </patternFill>
    </fill>
    <fill>
      <patternFill patternType="solid">
        <fgColor rgb="00fff5f5"/>
        <bgColor rgb="00fff5f5"/>
      </patternFill>
    </fill>
    <fill>
      <patternFill patternType="solid">
        <fgColor rgb="00008080"/>
        <bgColor rgb="00008080"/>
      </patternFill>
    </fill>
    <fill>
      <patternFill patternType="solid">
        <fgColor rgb="00f8fbff"/>
        <bgColor rgb="00f8fbff"/>
      </patternFill>
    </fill>
    <fill>
      <patternFill patternType="solid">
        <fgColor rgb="00fef5f5"/>
        <bgColor rgb="00fef5f5"/>
      </patternFill>
    </fill>
    <fill>
      <patternFill patternType="solid">
        <fgColor rgb="00fff3cd"/>
        <bgColor rgb="00fff3cd"/>
      </patternFill>
    </fill>
    <fill>
      <patternFill patternType="solid">
        <fgColor rgb="001a7a4d"/>
        <bgColor rgb="001a7a4d"/>
      </patternFill>
    </fill>
    <fill>
      <patternFill patternType="solid">
        <fgColor rgb="005a6c7d"/>
        <bgColor rgb="005a6c7d"/>
      </patternFill>
    </fill>
    <fill>
      <patternFill patternType="solid">
        <fgColor rgb="008b4513"/>
        <bgColor rgb="008b4513"/>
      </patternFill>
    </fill>
  </fills>
  <borders count="6">
    <border>
      <left/>
      <right/>
      <top/>
      <bottom/>
      <diagonal/>
    </border>
    <border>
      <left style="thin">
        <color rgb="00d0d8e0"/>
      </left>
      <right style="thin">
        <color rgb="00d0d8e0"/>
      </right>
      <top style="thin">
        <color rgb="00d0d8e0"/>
      </top>
      <bottom style="thin">
        <color rgb="00d0d8e0"/>
      </bottom>
    </border>
    <border>
      <left style="medium">
        <color rgb="00003366"/>
      </left>
      <right style="medium">
        <color rgb="00003366"/>
      </right>
      <top style="medium">
        <color rgb="00003366"/>
      </top>
      <bottom style="medium">
        <color rgb="00003366"/>
      </bottom>
    </border>
    <border>
      <left/>
      <right/>
      <top style="thin">
        <color rgb="00d0d8e0"/>
      </top>
      <bottom/>
      <diagonal/>
    </border>
    <border>
      <left/>
      <right style="thin">
        <color rgb="00d0d8e0"/>
      </right>
      <top style="thin">
        <color rgb="00d0d8e0"/>
      </top>
      <bottom/>
      <diagonal/>
    </border>
    <border>
      <left/>
      <right style="thin">
        <color rgb="00d0d8e0"/>
      </right>
      <top style="thin">
        <color rgb="00d0d8e0"/>
      </top>
      <bottom style="thin">
        <color rgb="00d0d8e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6" fillId="6" borderId="1" applyAlignment="1" pivotButton="0" quotePrefix="0" xfId="0">
      <alignment vertical="top" wrapText="1"/>
    </xf>
    <xf numFmtId="0" fontId="7" fillId="7" borderId="0" applyAlignment="1" pivotButton="0" quotePrefix="0" xfId="0">
      <alignment horizontal="left" vertical="center" indent="1"/>
    </xf>
    <xf numFmtId="0" fontId="8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left" vertical="center"/>
    </xf>
    <xf numFmtId="0" fontId="7" fillId="8" borderId="0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center" vertical="center"/>
    </xf>
    <xf numFmtId="0" fontId="0" fillId="0" borderId="5" pivotButton="0" quotePrefix="0" xfId="0"/>
    <xf numFmtId="0" fontId="9" fillId="9" borderId="1" applyAlignment="1" pivotButton="0" quotePrefix="0" xfId="0">
      <alignment vertical="top" wrapText="1"/>
    </xf>
    <xf numFmtId="0" fontId="7" fillId="10" borderId="0" applyAlignment="1" pivotButton="0" quotePrefix="0" xfId="0">
      <alignment horizontal="left" vertical="center" indent="1"/>
    </xf>
    <xf numFmtId="0" fontId="12" fillId="6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 wrapText="1"/>
    </xf>
    <xf numFmtId="0" fontId="16" fillId="6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right" vertical="center"/>
    </xf>
    <xf numFmtId="0" fontId="19" fillId="6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vertical="top" wrapText="1"/>
    </xf>
    <xf numFmtId="0" fontId="9" fillId="12" borderId="1" applyAlignment="1" pivotButton="0" quotePrefix="0" xfId="0">
      <alignment vertical="top" wrapText="1"/>
    </xf>
    <xf numFmtId="0" fontId="20" fillId="5" borderId="1" applyAlignment="1" pivotButton="0" quotePrefix="0" xfId="0">
      <alignment vertical="top" wrapText="1"/>
    </xf>
    <xf numFmtId="0" fontId="21" fillId="13" borderId="0" applyAlignment="1" pivotButton="0" quotePrefix="0" xfId="0">
      <alignment vertical="center" wrapText="1"/>
    </xf>
    <xf numFmtId="0" fontId="22" fillId="2" borderId="1" applyAlignment="1" pivotButton="0" quotePrefix="0" xfId="0">
      <alignment horizontal="center" vertical="center"/>
    </xf>
    <xf numFmtId="0" fontId="9" fillId="6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22" fillId="7" borderId="1" applyAlignment="1" pivotButton="0" quotePrefix="0" xfId="0">
      <alignment horizontal="center" vertical="center"/>
    </xf>
    <xf numFmtId="0" fontId="22" fillId="8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2" fillId="15" borderId="1" applyAlignment="1" pivotButton="0" quotePrefix="0" xfId="0">
      <alignment horizontal="center" vertical="center"/>
    </xf>
    <xf numFmtId="0" fontId="22" fillId="16" borderId="1" applyAlignment="1" pivotButton="0" quotePrefix="0" xfId="0">
      <alignment horizontal="center" vertical="center"/>
    </xf>
    <xf numFmtId="0" fontId="23" fillId="0" borderId="0" pivotButton="0" quotePrefix="0" xfId="0"/>
    <xf numFmtId="0" fontId="24" fillId="0" borderId="0" pivotButton="0" quotePrefix="0" xfId="0"/>
    <xf numFmtId="0" fontId="18" fillId="0" borderId="0" pivotButton="0" quotePrefix="0" xfId="0"/>
    <xf numFmtId="0" fontId="9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D69"/>
  <sheetViews>
    <sheetView zoomScale="10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55" customWidth="1" min="3" max="3"/>
    <col width="40" customWidth="1" min="4" max="4"/>
  </cols>
  <sheetData>
    <row r="1" ht="32" customHeight="1">
      <c r="A1" s="1" t="inlineStr">
        <is>
          <t>DENTAL CODE VERIFICATION SYSTEM  |  UHC Reference</t>
        </is>
      </c>
    </row>
    <row r="2">
      <c r="A2" s="2" t="inlineStr">
        <is>
          <t>Enter a denied code → see why, what to do instead, and check patient history</t>
        </is>
      </c>
    </row>
    <row r="4" ht="26" customHeight="1">
      <c r="A4" s="3" t="inlineStr">
        <is>
          <t xml:space="preserve">  🔍 CODE LOOKUP</t>
        </is>
      </c>
    </row>
    <row r="5" ht="30" customHeight="1">
      <c r="A5" s="4" t="inlineStr">
        <is>
          <t>Enter Code:</t>
        </is>
      </c>
      <c r="B5" s="5" t="n"/>
    </row>
    <row r="6">
      <c r="A6" s="6" t="inlineStr">
        <is>
          <t>Available: D0120, D0150, D0180, D0210, D0330, D1110, D2391, D2392, D2393, D2394, D2740, D2750, D2950, D2952, D3310, D3320, D3330, D4341, D4342, D4910, D5110, D5120, D5130, D5140, D5213, D5214, D6010, D6056, D6058, D6080, D7110, D7140, D7210</t>
        </is>
      </c>
    </row>
    <row r="8" ht="24" customHeight="1">
      <c r="A8" s="7" t="inlineStr">
        <is>
          <t xml:space="preserve">  📋 CODE INFORMATION</t>
        </is>
      </c>
    </row>
    <row r="9">
      <c r="A9" s="4" t="inlineStr">
        <is>
          <t>Description:</t>
        </is>
      </c>
      <c r="B9" s="8">
        <f>IF($B$5="","",IFERROR(XLOOKUP($B$5,'Code Database'!A:A,'Code Database'!B:B),"Not found"))</f>
        <v/>
      </c>
    </row>
    <row r="10">
      <c r="A10" s="4" t="inlineStr">
        <is>
          <t>UHC Frequency:</t>
        </is>
      </c>
      <c r="B10" s="9">
        <f>IF($B$5="","",IFERROR(XLOOKUP($B$5,'UHC Policies'!A:A,'UHC Policies'!B:B),"Check plan"))</f>
        <v/>
      </c>
      <c r="D10" s="10">
        <f>IF($B$5="","","Pre-Auth: "&amp;IFERROR(XLOOKUP($B$5,'UHC Policies'!A:A,'UHC Policies'!C:C),"Check plan"))</f>
        <v/>
      </c>
    </row>
    <row r="12">
      <c r="A12" s="11" t="inlineStr">
        <is>
          <t xml:space="preserve">  ❌ DENIAL ANALYSIS</t>
        </is>
      </c>
    </row>
    <row r="13">
      <c r="A13" s="12" t="inlineStr">
        <is>
          <t>Scenario</t>
        </is>
      </c>
      <c r="B13" s="12" t="inlineStr">
        <is>
          <t>Why Denied</t>
        </is>
      </c>
      <c r="C13" s="13" t="n"/>
      <c r="D13" s="12" t="inlineStr">
        <is>
          <t>Suggested Action</t>
        </is>
      </c>
    </row>
    <row r="14" ht="22" customHeight="1">
      <c r="B14" s="14">
        <f>IF($B$5="","",IFERROR(FILTER('Denial Scenarios'!B$2:D$999,'Denial Scenarios'!A$2:A$999=$B$5),""))</f>
        <v/>
      </c>
    </row>
    <row r="20">
      <c r="A20" s="15" t="inlineStr">
        <is>
          <t xml:space="preserve">  ✅ PATIENT HISTORY CHECK</t>
        </is>
      </c>
    </row>
    <row r="21">
      <c r="A21" s="16" t="inlineStr">
        <is>
          <t>Enter up to 5 codes already on this patient. Inserts codes in column C to check conflicts.</t>
        </is>
      </c>
    </row>
    <row r="22">
      <c r="A22" s="17" t="inlineStr">
        <is>
          <t>#</t>
        </is>
      </c>
      <c r="B22" s="17" t="inlineStr">
        <is>
          <t>Code (history)</t>
        </is>
      </c>
      <c r="C22" s="17" t="inlineStr">
        <is>
          <t>Conflict?</t>
        </is>
      </c>
      <c r="D22" s="17" t="inlineStr">
        <is>
          <t>Status</t>
        </is>
      </c>
    </row>
    <row r="23">
      <c r="A23" s="18" t="inlineStr">
        <is>
          <t>1</t>
        </is>
      </c>
      <c r="B23" s="19" t="n"/>
      <c r="C23" s="20">
        <f>IF(B23="","",IF(COUNTIFS('Cannot Be Together'!A:A,$B$5,'Cannot Be Together'!B:B,B23)&gt;0,"❌ CONFLICT","✅ OK"))</f>
        <v/>
      </c>
      <c r="D23" s="21">
        <f>IF(B23="","",IF(COUNTIFS('Cannot Be Together'!A:A,$B$5,'Cannot Be Together'!B:B,B23)&gt;0,"🚫 Denied","✳️ Clear"))</f>
        <v/>
      </c>
    </row>
    <row r="24">
      <c r="A24" s="18" t="inlineStr">
        <is>
          <t>2</t>
        </is>
      </c>
      <c r="B24" s="19" t="n"/>
      <c r="C24" s="20">
        <f>IF(B24="","",IF(COUNTIFS('Cannot Be Together'!A:A,$B$5,'Cannot Be Together'!B:B,B24)&gt;0,"❌ CONFLICT","✅ OK"))</f>
        <v/>
      </c>
      <c r="D24" s="21">
        <f>IF(B24="","",IF(COUNTIFS('Cannot Be Together'!A:A,$B$5,'Cannot Be Together'!B:B,B24)&gt;0,"🚫 Denied","✳️ Clear"))</f>
        <v/>
      </c>
    </row>
    <row r="25">
      <c r="A25" s="18" t="inlineStr">
        <is>
          <t>3</t>
        </is>
      </c>
      <c r="B25" s="19" t="n"/>
      <c r="C25" s="20">
        <f>IF(B25="","",IF(COUNTIFS('Cannot Be Together'!A:A,$B$5,'Cannot Be Together'!B:B,B25)&gt;0,"❌ CONFLICT","✅ OK"))</f>
        <v/>
      </c>
      <c r="D25" s="21">
        <f>IF(B25="","",IF(COUNTIFS('Cannot Be Together'!A:A,$B$5,'Cannot Be Together'!B:B,B25)&gt;0,"🚫 Denied","✳️ Clear"))</f>
        <v/>
      </c>
    </row>
    <row r="26">
      <c r="A26" s="18" t="inlineStr">
        <is>
          <t>4</t>
        </is>
      </c>
      <c r="B26" s="19" t="n"/>
      <c r="C26" s="20">
        <f>IF(B26="","",IF(COUNTIFS('Cannot Be Together'!A:A,$B$5,'Cannot Be Together'!B:B,B26)&gt;0,"❌ CONFLICT","✅ OK"))</f>
        <v/>
      </c>
      <c r="D26" s="21">
        <f>IF(B26="","",IF(COUNTIFS('Cannot Be Together'!A:A,$B$5,'Cannot Be Together'!B:B,B26)&gt;0,"🚫 Denied","✳️ Clear"))</f>
        <v/>
      </c>
    </row>
    <row r="27">
      <c r="A27" s="18" t="inlineStr">
        <is>
          <t>5</t>
        </is>
      </c>
      <c r="B27" s="19" t="n"/>
      <c r="C27" s="20">
        <f>IF(B27="","",IF(COUNTIFS('Cannot Be Together'!A:A,$B$5,'Cannot Be Together'!B:B,B27)&gt;0,"❌ CONFLICT","✅ OK"))</f>
        <v/>
      </c>
      <c r="D27" s="21">
        <f>IF(B27="","",IF(COUNTIFS('Cannot Be Together'!A:A,$B$5,'Cannot Be Together'!B:B,B27)&gt;0,"🚫 Denied","✳️ Clear"))</f>
        <v/>
      </c>
    </row>
    <row r="29" ht="22" customHeight="1">
      <c r="A29" s="22" t="inlineStr">
        <is>
          <t xml:space="preserve">  ⚖ FINAL VERDICT</t>
        </is>
      </c>
    </row>
    <row r="30">
      <c r="A30" s="23" t="inlineStr">
        <is>
          <t>Conflict Check:</t>
        </is>
      </c>
      <c r="B30" s="24">
        <f>IF($B$5="","",IF(COUNTIF(D23:D27,"🚫*")&gt;0,"❌ DENIED — Conflict in history","✅ No conflicts"))</f>
        <v/>
      </c>
    </row>
    <row r="31">
      <c r="A31" s="23" t="inlineStr">
        <is>
          <t>Required History:</t>
        </is>
      </c>
      <c r="B31" s="24">
        <f>IF($B$5="","",IF(SUMPRODUCT(('Required History'!A:A=$B$5)*('Required History'!E:E="YES"))=0,"✅ No critical prior requirements",IF(SUMPRODUCT(COUNTIFS('Required History'!A:A,$B$5,'Required History'!B:B,$B$23:$B$27,'Required History'!E:E,"YES"))&gt;=SUMPRODUCT(('Required History'!A:A=$B$5)*('Required History'!E:E="YES")),"✅ All critical required found","⚠️ Missing critical required")))</f>
        <v/>
      </c>
    </row>
    <row r="32">
      <c r="A32" s="25" t="inlineStr">
        <is>
          <t>VERDICT:</t>
        </is>
      </c>
      <c r="B32" s="26">
        <f>IF($B$5="","",IF(OR(COUNTIF(D23:D27,"🚫*")&gt;0,AND(SUMPRODUCT(COUNTIFS('Required History'!A:A,$B$5,'Required History'!B:B,$B$23:$B$27))&lt;SUMPRODUCT(('Required History'!A:A=$B$5)*1),SUMPRODUCT(('Required History'!A:A=$B$5)*1)&gt;0)),"❌ DENIED","✅ APPROVED"))</f>
        <v/>
      </c>
    </row>
    <row r="34">
      <c r="A34" s="7" t="inlineStr">
        <is>
          <t xml:space="preserve">  📋 REQUIRED PRIOR PROCEDURES (BEFORE)</t>
        </is>
      </c>
    </row>
    <row r="35">
      <c r="B35" s="27" t="inlineStr">
        <is>
          <t>Required Code</t>
        </is>
      </c>
      <c r="C35" s="27" t="inlineStr">
        <is>
          <t>Description</t>
        </is>
      </c>
      <c r="D35" s="27" t="inlineStr">
        <is>
          <t>Timeframe</t>
        </is>
      </c>
    </row>
    <row r="36">
      <c r="B36" s="28">
        <f>IF($B$5="","",IFERROR(FILTER('Required History'!B$2:D$999,'Required History'!A$2:A$999=$B$5),"None"))</f>
        <v/>
      </c>
    </row>
    <row r="42">
      <c r="A42" s="11" t="inlineStr">
        <is>
          <t xml:space="preserve">  🚫 CANNOT BE DONE TOGETHER</t>
        </is>
      </c>
    </row>
    <row r="43">
      <c r="B43" s="12" t="inlineStr">
        <is>
          <t>Conflict Code</t>
        </is>
      </c>
      <c r="C43" s="12" t="inlineStr">
        <is>
          <t>Reason</t>
        </is>
      </c>
      <c r="D43" s="13" t="n"/>
    </row>
    <row r="44">
      <c r="B44" s="29">
        <f>IF($B$5="","",IFERROR(FILTER('Cannot Be Together'!B$2:C$999,'Cannot Be Together'!A$2:A$999=$B$5),"No conflicts"))</f>
        <v/>
      </c>
    </row>
    <row r="50">
      <c r="A50" s="7" t="inlineStr">
        <is>
          <t xml:space="preserve">  ➡️ NEXT PROCEDURES (AFTER)</t>
        </is>
      </c>
    </row>
    <row r="51">
      <c r="B51" s="27" t="inlineStr">
        <is>
          <t>Next Code</t>
        </is>
      </c>
      <c r="C51" s="27" t="inlineStr">
        <is>
          <t>Description</t>
        </is>
      </c>
      <c r="D51" s="27" t="inlineStr">
        <is>
          <t>Timeframe</t>
        </is>
      </c>
    </row>
    <row r="52">
      <c r="B52" s="28">
        <f>IF($B$5="","",IFERROR(FILTER('Next Procedures'!B$2:D$999,'Next Procedures'!A$2:A$999=$B$5),"None"))</f>
        <v/>
      </c>
    </row>
    <row r="58">
      <c r="A58" s="7" t="inlineStr">
        <is>
          <t xml:space="preserve">  📌 CLINICAL GUIDELINES</t>
        </is>
      </c>
    </row>
    <row r="59">
      <c r="B59" s="27" t="inlineStr">
        <is>
          <t>#</t>
        </is>
      </c>
      <c r="C59" s="27" t="inlineStr">
        <is>
          <t>Guideline</t>
        </is>
      </c>
      <c r="D59" s="13" t="n"/>
    </row>
    <row r="60">
      <c r="B60" s="28">
        <f>IF($B$5="","",IFERROR(FILTER('Clinical Guidelines'!B$2:B$999,'Clinical Guidelines'!A$2:A$999=$B$5),"No guidelines"))</f>
        <v/>
      </c>
    </row>
    <row r="66">
      <c r="A66" s="22" t="inlineStr">
        <is>
          <t xml:space="preserve">  🏥 UHC SPECIFIC NOTES</t>
        </is>
      </c>
    </row>
    <row r="67" ht="28" customHeight="1">
      <c r="A67" s="30">
        <f>IF($B$5="","",IFERROR(XLOOKUP($B$5,'UHC Policies'!A:A,'UHC Policies'!E:E),"No UHC notes"))</f>
        <v/>
      </c>
    </row>
    <row r="69">
      <c r="A69" s="31" t="inlineStr">
        <is>
          <t>⚠ Not affiliated with UHC or any payer. Based on ADA CDT standards. Plans vary — verify with plan docs. Internal reference only.</t>
        </is>
      </c>
    </row>
  </sheetData>
  <mergeCells count="25">
    <mergeCell ref="A8:D8"/>
    <mergeCell ref="A4:D4"/>
    <mergeCell ref="A20:D20"/>
    <mergeCell ref="A29:D29"/>
    <mergeCell ref="A67:D67"/>
    <mergeCell ref="A58:D58"/>
    <mergeCell ref="A34:D34"/>
    <mergeCell ref="B9:D9"/>
    <mergeCell ref="B30:D30"/>
    <mergeCell ref="C59:D59"/>
    <mergeCell ref="B13:C13"/>
    <mergeCell ref="A1:D1"/>
    <mergeCell ref="C43:D43"/>
    <mergeCell ref="B5:D5"/>
    <mergeCell ref="A6:D6"/>
    <mergeCell ref="A69:D69"/>
    <mergeCell ref="B32:D32"/>
    <mergeCell ref="B10:C10"/>
    <mergeCell ref="A66:D66"/>
    <mergeCell ref="B31:D31"/>
    <mergeCell ref="A12:D12"/>
    <mergeCell ref="A50:D50"/>
    <mergeCell ref="A21:D21"/>
    <mergeCell ref="A2:D2"/>
    <mergeCell ref="A42:D42"/>
  </mergeCells>
  <dataValidations count="2">
    <dataValidation sqref="B5" showDropDown="0" showInputMessage="0" showErrorMessage="0" allowBlank="1" errorTitle="Error" error="Invalid code." promptTitle="Code" prompt="Pick or type a dental code" type="list">
      <formula1>"D0120,D0150,D0180,D0210,D0330,D1110,D2391,D2392,D2393,D2394,D2740,D2750,D2950,D2952,D3310,D3320,D3330,D4341,D4342,D4910,D5110,D5120,D5130,D5140,D5213,D5214,D6010,D6056,D6058,D6080,D7110,D7140,D7210"</formula1>
    </dataValidation>
    <dataValidation sqref="B23 B24 B25 B26 B27" showDropDown="0" showInputMessage="0" showErrorMessage="0" allowBlank="1" errorTitle="Error" error="Invalid code." promptTitle="History Code" prompt="Pick a code" type="list">
      <formula1>"D0120,D0150,D0180,D0210,D0330,D1110,D2391,D2392,D2393,D2394,D2740,D2750,D2950,D2952,D3310,D3320,D3330,D4341,D4342,D4910,D5110,D5120,D5130,D5140,D5213,D5214,D6010,D6056,D6058,D6080,D7110,D7140,D7210"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</cols>
  <sheetData>
    <row r="1">
      <c r="A1" s="32" t="inlineStr">
        <is>
          <t>Code</t>
        </is>
      </c>
      <c r="B1" s="32" t="inlineStr">
        <is>
          <t>Description</t>
        </is>
      </c>
      <c r="C1" s="32" t="inlineStr">
        <is>
          <t>Category</t>
        </is>
      </c>
    </row>
    <row r="2">
      <c r="A2" s="33" t="inlineStr">
        <is>
          <t>D0120</t>
        </is>
      </c>
      <c r="B2" s="33" t="inlineStr">
        <is>
          <t>Periodic oral examination - established</t>
        </is>
      </c>
      <c r="C2" s="33" t="inlineStr">
        <is>
          <t>Diagnostic</t>
        </is>
      </c>
    </row>
    <row r="3">
      <c r="A3" s="34" t="inlineStr">
        <is>
          <t>D0150</t>
        </is>
      </c>
      <c r="B3" s="34" t="inlineStr">
        <is>
          <t>Comprehensive oral examination</t>
        </is>
      </c>
      <c r="C3" s="34" t="inlineStr">
        <is>
          <t>Diagnostic</t>
        </is>
      </c>
    </row>
    <row r="4">
      <c r="A4" s="33" t="inlineStr">
        <is>
          <t>D0180</t>
        </is>
      </c>
      <c r="B4" s="33" t="inlineStr">
        <is>
          <t>Comprehensive periodontal evaluation</t>
        </is>
      </c>
      <c r="C4" s="33" t="inlineStr">
        <is>
          <t>Periodontics</t>
        </is>
      </c>
    </row>
    <row r="5">
      <c r="A5" s="34" t="inlineStr">
        <is>
          <t>D0210</t>
        </is>
      </c>
      <c r="B5" s="34" t="inlineStr">
        <is>
          <t>Full mouth radiographic survey</t>
        </is>
      </c>
      <c r="C5" s="34" t="inlineStr">
        <is>
          <t>Diagnostic</t>
        </is>
      </c>
    </row>
    <row r="6">
      <c r="A6" s="33" t="inlineStr">
        <is>
          <t>D0330</t>
        </is>
      </c>
      <c r="B6" s="33" t="inlineStr">
        <is>
          <t>Panoramic radiographic survey</t>
        </is>
      </c>
      <c r="C6" s="33" t="inlineStr">
        <is>
          <t>Diagnostic</t>
        </is>
      </c>
    </row>
    <row r="7">
      <c r="A7" s="34" t="inlineStr">
        <is>
          <t>D1110</t>
        </is>
      </c>
      <c r="B7" s="34" t="inlineStr">
        <is>
          <t>Prophylaxis - adult (routine cleaning)</t>
        </is>
      </c>
      <c r="C7" s="34" t="inlineStr">
        <is>
          <t>Preventive</t>
        </is>
      </c>
    </row>
    <row r="8">
      <c r="A8" s="33" t="inlineStr">
        <is>
          <t>D2391</t>
        </is>
      </c>
      <c r="B8" s="33" t="inlineStr">
        <is>
          <t>Resin composite - 1 surface, posterior</t>
        </is>
      </c>
      <c r="C8" s="33" t="inlineStr">
        <is>
          <t>Restorative</t>
        </is>
      </c>
    </row>
    <row r="9">
      <c r="A9" s="34" t="inlineStr">
        <is>
          <t>D2392</t>
        </is>
      </c>
      <c r="B9" s="34" t="inlineStr">
        <is>
          <t>Resin composite - 2 surfaces, posterior</t>
        </is>
      </c>
      <c r="C9" s="34" t="inlineStr">
        <is>
          <t>Restorative</t>
        </is>
      </c>
    </row>
    <row r="10">
      <c r="A10" s="33" t="inlineStr">
        <is>
          <t>D2393</t>
        </is>
      </c>
      <c r="B10" s="33" t="inlineStr">
        <is>
          <t>Resin composite - 3 surfaces, posterior</t>
        </is>
      </c>
      <c r="C10" s="33" t="inlineStr">
        <is>
          <t>Restorative</t>
        </is>
      </c>
    </row>
    <row r="11">
      <c r="A11" s="34" t="inlineStr">
        <is>
          <t>D2394</t>
        </is>
      </c>
      <c r="B11" s="34" t="inlineStr">
        <is>
          <t>Resin composite - 4+ surfaces, posterior</t>
        </is>
      </c>
      <c r="C11" s="34" t="inlineStr">
        <is>
          <t>Restorative</t>
        </is>
      </c>
    </row>
    <row r="12">
      <c r="A12" s="33" t="inlineStr">
        <is>
          <t>D2740</t>
        </is>
      </c>
      <c r="B12" s="33" t="inlineStr">
        <is>
          <t>Crown - porcelain/ceramic substrate</t>
        </is>
      </c>
      <c r="C12" s="33" t="inlineStr">
        <is>
          <t>Restorative</t>
        </is>
      </c>
    </row>
    <row r="13">
      <c r="A13" s="34" t="inlineStr">
        <is>
          <t>D2750</t>
        </is>
      </c>
      <c r="B13" s="34" t="inlineStr">
        <is>
          <t>Crown - porcelain fused to high noble metal</t>
        </is>
      </c>
      <c r="C13" s="34" t="inlineStr">
        <is>
          <t>Restorative</t>
        </is>
      </c>
    </row>
    <row r="14">
      <c r="A14" s="33" t="inlineStr">
        <is>
          <t>D2950</t>
        </is>
      </c>
      <c r="B14" s="33" t="inlineStr">
        <is>
          <t>Core buildup including pins</t>
        </is>
      </c>
      <c r="C14" s="33" t="inlineStr">
        <is>
          <t>Restorative</t>
        </is>
      </c>
    </row>
    <row r="15">
      <c r="A15" s="34" t="inlineStr">
        <is>
          <t>D2952</t>
        </is>
      </c>
      <c r="B15" s="34" t="inlineStr">
        <is>
          <t>Post and core - cast metal</t>
        </is>
      </c>
      <c r="C15" s="34" t="inlineStr">
        <is>
          <t>Restorative</t>
        </is>
      </c>
    </row>
    <row r="16">
      <c r="A16" s="33" t="inlineStr">
        <is>
          <t>D3310</t>
        </is>
      </c>
      <c r="B16" s="33" t="inlineStr">
        <is>
          <t>Root canal - anterior tooth</t>
        </is>
      </c>
      <c r="C16" s="33" t="inlineStr">
        <is>
          <t>Endodontics</t>
        </is>
      </c>
    </row>
    <row r="17">
      <c r="A17" s="34" t="inlineStr">
        <is>
          <t>D3320</t>
        </is>
      </c>
      <c r="B17" s="34" t="inlineStr">
        <is>
          <t>Root canal - bicuspid tooth</t>
        </is>
      </c>
      <c r="C17" s="34" t="inlineStr">
        <is>
          <t>Endodontics</t>
        </is>
      </c>
    </row>
    <row r="18">
      <c r="A18" s="33" t="inlineStr">
        <is>
          <t>D3330</t>
        </is>
      </c>
      <c r="B18" s="33" t="inlineStr">
        <is>
          <t>Root canal - molar tooth</t>
        </is>
      </c>
      <c r="C18" s="33" t="inlineStr">
        <is>
          <t>Endodontics</t>
        </is>
      </c>
    </row>
    <row r="19">
      <c r="A19" s="34" t="inlineStr">
        <is>
          <t>D4341</t>
        </is>
      </c>
      <c r="B19" s="34" t="inlineStr">
        <is>
          <t>Periodontal scaling &amp; root planing - 4+/quadrant</t>
        </is>
      </c>
      <c r="C19" s="34" t="inlineStr">
        <is>
          <t>Periodontics</t>
        </is>
      </c>
    </row>
    <row r="20">
      <c r="A20" s="33" t="inlineStr">
        <is>
          <t>D4342</t>
        </is>
      </c>
      <c r="B20" s="33" t="inlineStr">
        <is>
          <t>Periodontal scaling &amp; root planing - 1-3/quadrant</t>
        </is>
      </c>
      <c r="C20" s="33" t="inlineStr">
        <is>
          <t>Periodontics</t>
        </is>
      </c>
    </row>
    <row r="21">
      <c r="A21" s="34" t="inlineStr">
        <is>
          <t>D4910</t>
        </is>
      </c>
      <c r="B21" s="34" t="inlineStr">
        <is>
          <t>Periodontal maintenance</t>
        </is>
      </c>
      <c r="C21" s="34" t="inlineStr">
        <is>
          <t>Periodontics</t>
        </is>
      </c>
    </row>
    <row r="22">
      <c r="A22" s="33" t="inlineStr">
        <is>
          <t>D5110</t>
        </is>
      </c>
      <c r="B22" s="33" t="inlineStr">
        <is>
          <t>Complete denture - upper</t>
        </is>
      </c>
      <c r="C22" s="33" t="inlineStr">
        <is>
          <t>Prosthodontics</t>
        </is>
      </c>
    </row>
    <row r="23">
      <c r="A23" s="34" t="inlineStr">
        <is>
          <t>D5120</t>
        </is>
      </c>
      <c r="B23" s="34" t="inlineStr">
        <is>
          <t>Complete denture - lower</t>
        </is>
      </c>
      <c r="C23" s="34" t="inlineStr">
        <is>
          <t>Prosthodontics</t>
        </is>
      </c>
    </row>
    <row r="24">
      <c r="A24" s="33" t="inlineStr">
        <is>
          <t>D5130</t>
        </is>
      </c>
      <c r="B24" s="33" t="inlineStr">
        <is>
          <t>Immediate denture - upper</t>
        </is>
      </c>
      <c r="C24" s="33" t="inlineStr">
        <is>
          <t>Prosthodontics</t>
        </is>
      </c>
    </row>
    <row r="25">
      <c r="A25" s="34" t="inlineStr">
        <is>
          <t>D5140</t>
        </is>
      </c>
      <c r="B25" s="34" t="inlineStr">
        <is>
          <t>Immediate denture - lower</t>
        </is>
      </c>
      <c r="C25" s="34" t="inlineStr">
        <is>
          <t>Prosthodontics</t>
        </is>
      </c>
    </row>
    <row r="26">
      <c r="A26" s="33" t="inlineStr">
        <is>
          <t>D5213</t>
        </is>
      </c>
      <c r="B26" s="33" t="inlineStr">
        <is>
          <t>Partial denture - upper, cast metal</t>
        </is>
      </c>
      <c r="C26" s="33" t="inlineStr">
        <is>
          <t>Prosthodontics</t>
        </is>
      </c>
    </row>
    <row r="27">
      <c r="A27" s="34" t="inlineStr">
        <is>
          <t>D5214</t>
        </is>
      </c>
      <c r="B27" s="34" t="inlineStr">
        <is>
          <t>Partial denture - lower, cast metal</t>
        </is>
      </c>
      <c r="C27" s="34" t="inlineStr">
        <is>
          <t>Prosthodontics</t>
        </is>
      </c>
    </row>
    <row r="28">
      <c r="A28" s="33" t="inlineStr">
        <is>
          <t>D6010</t>
        </is>
      </c>
      <c r="B28" s="33" t="inlineStr">
        <is>
          <t>Surgical placement of implant body - endosteal</t>
        </is>
      </c>
      <c r="C28" s="33" t="inlineStr">
        <is>
          <t>Implant Services</t>
        </is>
      </c>
    </row>
    <row r="29">
      <c r="A29" s="34" t="inlineStr">
        <is>
          <t>D6056</t>
        </is>
      </c>
      <c r="B29" s="34" t="inlineStr">
        <is>
          <t>Prefabricated abutment - includes placement</t>
        </is>
      </c>
      <c r="C29" s="34" t="inlineStr">
        <is>
          <t>Implant Services</t>
        </is>
      </c>
    </row>
    <row r="30">
      <c r="A30" s="33" t="inlineStr">
        <is>
          <t>D6058</t>
        </is>
      </c>
      <c r="B30" s="33" t="inlineStr">
        <is>
          <t>Abutment supported crown - porcelain/ceramic</t>
        </is>
      </c>
      <c r="C30" s="33" t="inlineStr">
        <is>
          <t>Implant Services</t>
        </is>
      </c>
    </row>
    <row r="31">
      <c r="A31" s="34" t="inlineStr">
        <is>
          <t>D6080</t>
        </is>
      </c>
      <c r="B31" s="34" t="inlineStr">
        <is>
          <t>Implant maintenance procedures</t>
        </is>
      </c>
      <c r="C31" s="34" t="inlineStr">
        <is>
          <t>Implant Services</t>
        </is>
      </c>
    </row>
    <row r="32">
      <c r="A32" s="33" t="inlineStr">
        <is>
          <t>D7110</t>
        </is>
      </c>
      <c r="B32" s="33" t="inlineStr">
        <is>
          <t>Extraction, single tooth - not erupted (surgical)</t>
        </is>
      </c>
      <c r="C32" s="33" t="inlineStr">
        <is>
          <t>Oral Surgery</t>
        </is>
      </c>
    </row>
    <row r="33">
      <c r="A33" s="34" t="inlineStr">
        <is>
          <t>D7140</t>
        </is>
      </c>
      <c r="B33" s="34" t="inlineStr">
        <is>
          <t>Extraction, erupted tooth or exposed root (simple)</t>
        </is>
      </c>
      <c r="C33" s="34" t="inlineStr">
        <is>
          <t>Oral Surgery</t>
        </is>
      </c>
    </row>
    <row r="34">
      <c r="A34" s="33" t="inlineStr">
        <is>
          <t>D7210</t>
        </is>
      </c>
      <c r="B34" s="33" t="inlineStr">
        <is>
          <t>Extraction requiring flap elevation and bone removal</t>
        </is>
      </c>
      <c r="C34" s="33" t="inlineStr">
        <is>
          <t>Oral Surgery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85e8a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35" customWidth="1" min="4" max="4"/>
    <col width="10" customWidth="1" min="5" max="5"/>
  </cols>
  <sheetData>
    <row r="1">
      <c r="A1" s="35" t="inlineStr">
        <is>
          <t>Parent Code</t>
        </is>
      </c>
      <c r="B1" s="35" t="inlineStr">
        <is>
          <t>Required Code</t>
        </is>
      </c>
      <c r="C1" s="35" t="inlineStr">
        <is>
          <t>Description</t>
        </is>
      </c>
      <c r="D1" s="35" t="inlineStr">
        <is>
          <t>Timeframe</t>
        </is>
      </c>
      <c r="E1" s="35" t="inlineStr">
        <is>
          <t>Critical</t>
        </is>
      </c>
    </row>
    <row r="2">
      <c r="A2" s="33" t="inlineStr">
        <is>
          <t>D2952</t>
        </is>
      </c>
      <c r="B2" s="33" t="inlineStr">
        <is>
          <t>D3310</t>
        </is>
      </c>
      <c r="C2" s="33" t="inlineStr">
        <is>
          <t>Root canal - anterior</t>
        </is>
      </c>
      <c r="D2" s="33" t="inlineStr">
        <is>
          <t>Before post</t>
        </is>
      </c>
      <c r="E2" s="33" t="inlineStr">
        <is>
          <t>NO</t>
        </is>
      </c>
    </row>
    <row r="3">
      <c r="A3" s="34" t="inlineStr">
        <is>
          <t>D2952</t>
        </is>
      </c>
      <c r="B3" s="34" t="inlineStr">
        <is>
          <t>D3320</t>
        </is>
      </c>
      <c r="C3" s="34" t="inlineStr">
        <is>
          <t>Root canal - bicuspid</t>
        </is>
      </c>
      <c r="D3" s="34" t="inlineStr">
        <is>
          <t>Before post</t>
        </is>
      </c>
      <c r="E3" s="34" t="inlineStr">
        <is>
          <t>NO</t>
        </is>
      </c>
    </row>
    <row r="4">
      <c r="A4" s="33" t="inlineStr">
        <is>
          <t>D2952</t>
        </is>
      </c>
      <c r="B4" s="33" t="inlineStr">
        <is>
          <t>D3330</t>
        </is>
      </c>
      <c r="C4" s="33" t="inlineStr">
        <is>
          <t>Root canal - molar</t>
        </is>
      </c>
      <c r="D4" s="33" t="inlineStr">
        <is>
          <t>Before post</t>
        </is>
      </c>
      <c r="E4" s="33" t="inlineStr">
        <is>
          <t>NO</t>
        </is>
      </c>
    </row>
    <row r="5">
      <c r="A5" s="34" t="inlineStr">
        <is>
          <t>D4341</t>
        </is>
      </c>
      <c r="B5" s="34" t="inlineStr">
        <is>
          <t>D0180</t>
        </is>
      </c>
      <c r="C5" s="34" t="inlineStr">
        <is>
          <t>Comprehensive periodontal evaluation</t>
        </is>
      </c>
      <c r="D5" s="34" t="inlineStr">
        <is>
          <t>Within 6mo before SRP</t>
        </is>
      </c>
      <c r="E5" s="34" t="inlineStr">
        <is>
          <t>YES</t>
        </is>
      </c>
    </row>
    <row r="6">
      <c r="A6" s="33" t="inlineStr">
        <is>
          <t>D4342</t>
        </is>
      </c>
      <c r="B6" s="33" t="inlineStr">
        <is>
          <t>D0180</t>
        </is>
      </c>
      <c r="C6" s="33" t="inlineStr">
        <is>
          <t>Comprehensive periodontal evaluation</t>
        </is>
      </c>
      <c r="D6" s="33" t="inlineStr">
        <is>
          <t>Within 6mo before SRP</t>
        </is>
      </c>
      <c r="E6" s="33" t="inlineStr">
        <is>
          <t>YES</t>
        </is>
      </c>
    </row>
    <row r="7">
      <c r="A7" s="34" t="inlineStr">
        <is>
          <t>D4910</t>
        </is>
      </c>
      <c r="B7" s="34" t="inlineStr">
        <is>
          <t>D4341</t>
        </is>
      </c>
      <c r="C7" s="34" t="inlineStr">
        <is>
          <t>Scaling &amp; root planing</t>
        </is>
      </c>
      <c r="D7" s="34" t="inlineStr">
        <is>
          <t>Within 24mo prior</t>
        </is>
      </c>
      <c r="E7" s="34" t="inlineStr">
        <is>
          <t>YES</t>
        </is>
      </c>
    </row>
    <row r="8">
      <c r="A8" s="33" t="inlineStr">
        <is>
          <t>D4910</t>
        </is>
      </c>
      <c r="B8" s="33" t="inlineStr">
        <is>
          <t>D4342</t>
        </is>
      </c>
      <c r="C8" s="33" t="inlineStr">
        <is>
          <t>SRP (limited)</t>
        </is>
      </c>
      <c r="D8" s="33" t="inlineStr">
        <is>
          <t>Within 24mo prior</t>
        </is>
      </c>
      <c r="E8" s="33" t="inlineStr">
        <is>
          <t>NO</t>
        </is>
      </c>
    </row>
    <row r="9">
      <c r="A9" s="34" t="inlineStr">
        <is>
          <t>D5110</t>
        </is>
      </c>
      <c r="B9" s="34" t="inlineStr">
        <is>
          <t>D7140</t>
        </is>
      </c>
      <c r="C9" s="34" t="inlineStr">
        <is>
          <t>Extractions if teeth present</t>
        </is>
      </c>
      <c r="D9" s="34" t="inlineStr">
        <is>
          <t>3-6mo healing</t>
        </is>
      </c>
      <c r="E9" s="34" t="inlineStr">
        <is>
          <t>NO</t>
        </is>
      </c>
    </row>
    <row r="10">
      <c r="A10" s="33" t="inlineStr">
        <is>
          <t>D5110</t>
        </is>
      </c>
      <c r="B10" s="33" t="inlineStr">
        <is>
          <t>D7110</t>
        </is>
      </c>
      <c r="C10" s="33" t="inlineStr">
        <is>
          <t>Surgical extractions if needed</t>
        </is>
      </c>
      <c r="D10" s="33" t="inlineStr">
        <is>
          <t>3-6mo</t>
        </is>
      </c>
      <c r="E10" s="33" t="inlineStr">
        <is>
          <t>NO</t>
        </is>
      </c>
    </row>
    <row r="11">
      <c r="A11" s="34" t="inlineStr">
        <is>
          <t>D5120</t>
        </is>
      </c>
      <c r="B11" s="34" t="inlineStr">
        <is>
          <t>D7140</t>
        </is>
      </c>
      <c r="C11" s="34" t="inlineStr">
        <is>
          <t>Extractions if teeth present</t>
        </is>
      </c>
      <c r="D11" s="34" t="inlineStr">
        <is>
          <t>3-6mo healing</t>
        </is>
      </c>
      <c r="E11" s="34" t="inlineStr">
        <is>
          <t>NO</t>
        </is>
      </c>
    </row>
    <row r="12">
      <c r="A12" s="33" t="inlineStr">
        <is>
          <t>D5130</t>
        </is>
      </c>
      <c r="B12" s="33" t="inlineStr">
        <is>
          <t>D7140</t>
        </is>
      </c>
      <c r="C12" s="33" t="inlineStr">
        <is>
          <t>Extractions</t>
        </is>
      </c>
      <c r="D12" s="33" t="inlineStr">
        <is>
          <t>Same day</t>
        </is>
      </c>
      <c r="E12" s="33" t="inlineStr">
        <is>
          <t>YES</t>
        </is>
      </c>
    </row>
    <row r="13">
      <c r="A13" s="34" t="inlineStr">
        <is>
          <t>D5140</t>
        </is>
      </c>
      <c r="B13" s="34" t="inlineStr">
        <is>
          <t>D7140</t>
        </is>
      </c>
      <c r="C13" s="34" t="inlineStr">
        <is>
          <t>Extractions</t>
        </is>
      </c>
      <c r="D13" s="34" t="inlineStr">
        <is>
          <t>Same day</t>
        </is>
      </c>
      <c r="E13" s="34" t="inlineStr">
        <is>
          <t>YES</t>
        </is>
      </c>
    </row>
    <row r="14">
      <c r="A14" s="33" t="inlineStr">
        <is>
          <t>D6010</t>
        </is>
      </c>
      <c r="B14" s="33" t="inlineStr">
        <is>
          <t>D7140</t>
        </is>
      </c>
      <c r="C14" s="33" t="inlineStr">
        <is>
          <t>Extraction if replacing tooth</t>
        </is>
      </c>
      <c r="D14" s="33" t="inlineStr">
        <is>
          <t>Varies: immediate or 3-6mo</t>
        </is>
      </c>
      <c r="E14" s="33" t="inlineStr">
        <is>
          <t>NO</t>
        </is>
      </c>
    </row>
    <row r="15">
      <c r="A15" s="34" t="inlineStr">
        <is>
          <t>D6010</t>
        </is>
      </c>
      <c r="B15" s="34" t="inlineStr">
        <is>
          <t>D7210</t>
        </is>
      </c>
      <c r="C15" s="34" t="inlineStr">
        <is>
          <t>Surgical extraction if needed</t>
        </is>
      </c>
      <c r="D15" s="34" t="inlineStr">
        <is>
          <t>Varies</t>
        </is>
      </c>
      <c r="E15" s="34" t="inlineStr">
        <is>
          <t>NO</t>
        </is>
      </c>
    </row>
    <row r="16">
      <c r="A16" s="33" t="inlineStr">
        <is>
          <t>D6056</t>
        </is>
      </c>
      <c r="B16" s="33" t="inlineStr">
        <is>
          <t>D6010</t>
        </is>
      </c>
      <c r="C16" s="33" t="inlineStr">
        <is>
          <t>Implant body placement</t>
        </is>
      </c>
      <c r="D16" s="33" t="inlineStr">
        <is>
          <t>3-6mo prior</t>
        </is>
      </c>
      <c r="E16" s="33" t="inlineStr">
        <is>
          <t>YES</t>
        </is>
      </c>
    </row>
    <row r="17">
      <c r="A17" s="34" t="inlineStr">
        <is>
          <t>D6058</t>
        </is>
      </c>
      <c r="B17" s="34" t="inlineStr">
        <is>
          <t>D6010</t>
        </is>
      </c>
      <c r="C17" s="34" t="inlineStr">
        <is>
          <t>Implant body placement</t>
        </is>
      </c>
      <c r="D17" s="34" t="inlineStr">
        <is>
          <t>3-6mo prior</t>
        </is>
      </c>
      <c r="E17" s="34" t="inlineStr">
        <is>
          <t>YES</t>
        </is>
      </c>
    </row>
    <row r="18">
      <c r="A18" s="33" t="inlineStr">
        <is>
          <t>D6058</t>
        </is>
      </c>
      <c r="B18" s="33" t="inlineStr">
        <is>
          <t>D6056</t>
        </is>
      </c>
      <c r="C18" s="33" t="inlineStr">
        <is>
          <t>Prefabricated abutment</t>
        </is>
      </c>
      <c r="D18" s="33" t="inlineStr">
        <is>
          <t>Same day or prior</t>
        </is>
      </c>
      <c r="E18" s="33" t="inlineStr">
        <is>
          <t>YES</t>
        </is>
      </c>
    </row>
    <row r="19">
      <c r="A19" s="34" t="inlineStr">
        <is>
          <t>D6080</t>
        </is>
      </c>
      <c r="B19" s="34" t="inlineStr">
        <is>
          <t>D6010</t>
        </is>
      </c>
      <c r="C19" s="34" t="inlineStr">
        <is>
          <t>Implant placement</t>
        </is>
      </c>
      <c r="D19" s="34" t="inlineStr">
        <is>
          <t>Must have implant</t>
        </is>
      </c>
      <c r="E19" s="34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33c24"/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70" customWidth="1" min="3" max="3"/>
  </cols>
  <sheetData>
    <row r="1">
      <c r="A1" s="36" t="inlineStr">
        <is>
          <t>Parent Code</t>
        </is>
      </c>
      <c r="B1" s="36" t="inlineStr">
        <is>
          <t>Conflict Code</t>
        </is>
      </c>
      <c r="C1" s="36" t="inlineStr">
        <is>
          <t>Reason</t>
        </is>
      </c>
    </row>
    <row r="2">
      <c r="A2" s="33" t="inlineStr">
        <is>
          <t>D0120</t>
        </is>
      </c>
      <c r="B2" s="33" t="inlineStr">
        <is>
          <t>D0150</t>
        </is>
      </c>
      <c r="C2" s="33" t="inlineStr">
        <is>
          <t>Cannot bill comprehensive + periodic same day</t>
        </is>
      </c>
    </row>
    <row r="3">
      <c r="A3" s="34" t="inlineStr">
        <is>
          <t>D0150</t>
        </is>
      </c>
      <c r="B3" s="34" t="inlineStr">
        <is>
          <t>D0120</t>
        </is>
      </c>
      <c r="C3" s="34" t="inlineStr">
        <is>
          <t>Cannot bill comprehensive + periodic same day</t>
        </is>
      </c>
    </row>
    <row r="4">
      <c r="A4" s="33" t="inlineStr">
        <is>
          <t>D0210</t>
        </is>
      </c>
      <c r="B4" s="33" t="inlineStr">
        <is>
          <t>D0330</t>
        </is>
      </c>
      <c r="C4" s="33" t="inlineStr">
        <is>
          <t>Cannot bill panoramic + FMX same day</t>
        </is>
      </c>
    </row>
    <row r="5">
      <c r="A5" s="34" t="inlineStr">
        <is>
          <t>D0330</t>
        </is>
      </c>
      <c r="B5" s="34" t="inlineStr">
        <is>
          <t>D0210</t>
        </is>
      </c>
      <c r="C5" s="34" t="inlineStr">
        <is>
          <t>Cannot bill panoramic + FMX same day</t>
        </is>
      </c>
    </row>
    <row r="6">
      <c r="A6" s="33" t="inlineStr">
        <is>
          <t>D1110</t>
        </is>
      </c>
      <c r="B6" s="33" t="inlineStr">
        <is>
          <t>D4341</t>
        </is>
      </c>
      <c r="C6" s="33" t="inlineStr">
        <is>
          <t>Cannot bill prophy + SRP same day</t>
        </is>
      </c>
    </row>
    <row r="7">
      <c r="A7" s="34" t="inlineStr">
        <is>
          <t>D1110</t>
        </is>
      </c>
      <c r="B7" s="34" t="inlineStr">
        <is>
          <t>D4342</t>
        </is>
      </c>
      <c r="C7" s="34" t="inlineStr">
        <is>
          <t>Cannot bill prophy + SRP same day</t>
        </is>
      </c>
    </row>
    <row r="8">
      <c r="A8" s="33" t="inlineStr">
        <is>
          <t>D1110</t>
        </is>
      </c>
      <c r="B8" s="33" t="inlineStr">
        <is>
          <t>D4910</t>
        </is>
      </c>
      <c r="C8" s="33" t="inlineStr">
        <is>
          <t>Cannot bill prophy + perio maintenance same day</t>
        </is>
      </c>
    </row>
    <row r="9">
      <c r="A9" s="34" t="inlineStr">
        <is>
          <t>D2391</t>
        </is>
      </c>
      <c r="B9" s="34" t="inlineStr">
        <is>
          <t>D7140</t>
        </is>
      </c>
      <c r="C9" s="34" t="inlineStr">
        <is>
          <t>Cannot fill extracted tooth</t>
        </is>
      </c>
    </row>
    <row r="10">
      <c r="A10" s="33" t="inlineStr">
        <is>
          <t>D2391</t>
        </is>
      </c>
      <c r="B10" s="33" t="inlineStr">
        <is>
          <t>D7110</t>
        </is>
      </c>
      <c r="C10" s="33" t="inlineStr">
        <is>
          <t>Cannot fill extracted tooth</t>
        </is>
      </c>
    </row>
    <row r="11">
      <c r="A11" s="34" t="inlineStr">
        <is>
          <t>D2391</t>
        </is>
      </c>
      <c r="B11" s="34" t="inlineStr">
        <is>
          <t>D7210</t>
        </is>
      </c>
      <c r="C11" s="34" t="inlineStr">
        <is>
          <t>Cannot fill extracted tooth</t>
        </is>
      </c>
    </row>
    <row r="12">
      <c r="A12" s="33" t="inlineStr">
        <is>
          <t>D2392</t>
        </is>
      </c>
      <c r="B12" s="33" t="inlineStr">
        <is>
          <t>D7140</t>
        </is>
      </c>
      <c r="C12" s="33" t="inlineStr">
        <is>
          <t>Cannot fill extracted tooth</t>
        </is>
      </c>
    </row>
    <row r="13">
      <c r="A13" s="34" t="inlineStr">
        <is>
          <t>D2392</t>
        </is>
      </c>
      <c r="B13" s="34" t="inlineStr">
        <is>
          <t>D7110</t>
        </is>
      </c>
      <c r="C13" s="34" t="inlineStr">
        <is>
          <t>Cannot fill extracted tooth</t>
        </is>
      </c>
    </row>
    <row r="14">
      <c r="A14" s="33" t="inlineStr">
        <is>
          <t>D2392</t>
        </is>
      </c>
      <c r="B14" s="33" t="inlineStr">
        <is>
          <t>D7210</t>
        </is>
      </c>
      <c r="C14" s="33" t="inlineStr">
        <is>
          <t>Cannot fill extracted tooth</t>
        </is>
      </c>
    </row>
    <row r="15">
      <c r="A15" s="34" t="inlineStr">
        <is>
          <t>D2393</t>
        </is>
      </c>
      <c r="B15" s="34" t="inlineStr">
        <is>
          <t>D7140</t>
        </is>
      </c>
      <c r="C15" s="34" t="inlineStr">
        <is>
          <t>Cannot fill extracted tooth</t>
        </is>
      </c>
    </row>
    <row r="16">
      <c r="A16" s="33" t="inlineStr">
        <is>
          <t>D2393</t>
        </is>
      </c>
      <c r="B16" s="33" t="inlineStr">
        <is>
          <t>D7110</t>
        </is>
      </c>
      <c r="C16" s="33" t="inlineStr">
        <is>
          <t>Cannot fill extracted tooth</t>
        </is>
      </c>
    </row>
    <row r="17">
      <c r="A17" s="34" t="inlineStr">
        <is>
          <t>D2393</t>
        </is>
      </c>
      <c r="B17" s="34" t="inlineStr">
        <is>
          <t>D7210</t>
        </is>
      </c>
      <c r="C17" s="34" t="inlineStr">
        <is>
          <t>Cannot fill extracted tooth</t>
        </is>
      </c>
    </row>
    <row r="18">
      <c r="A18" s="33" t="inlineStr">
        <is>
          <t>D2394</t>
        </is>
      </c>
      <c r="B18" s="33" t="inlineStr">
        <is>
          <t>D7140</t>
        </is>
      </c>
      <c r="C18" s="33" t="inlineStr">
        <is>
          <t>Cannot fill extracted tooth</t>
        </is>
      </c>
    </row>
    <row r="19">
      <c r="A19" s="34" t="inlineStr">
        <is>
          <t>D2394</t>
        </is>
      </c>
      <c r="B19" s="34" t="inlineStr">
        <is>
          <t>D7110</t>
        </is>
      </c>
      <c r="C19" s="34" t="inlineStr">
        <is>
          <t>Cannot fill extracted tooth</t>
        </is>
      </c>
    </row>
    <row r="20">
      <c r="A20" s="33" t="inlineStr">
        <is>
          <t>D2394</t>
        </is>
      </c>
      <c r="B20" s="33" t="inlineStr">
        <is>
          <t>D7210</t>
        </is>
      </c>
      <c r="C20" s="33" t="inlineStr">
        <is>
          <t>Cannot fill extracted tooth</t>
        </is>
      </c>
    </row>
    <row r="21">
      <c r="A21" s="34" t="inlineStr">
        <is>
          <t>D2740</t>
        </is>
      </c>
      <c r="B21" s="34" t="inlineStr">
        <is>
          <t>D6058</t>
        </is>
      </c>
      <c r="C21" s="34" t="inlineStr">
        <is>
          <t>Cannot do implant crown + natural crown same tooth</t>
        </is>
      </c>
    </row>
    <row r="22">
      <c r="A22" s="33" t="inlineStr">
        <is>
          <t>D2740</t>
        </is>
      </c>
      <c r="B22" s="33" t="inlineStr">
        <is>
          <t>D7140</t>
        </is>
      </c>
      <c r="C22" s="33" t="inlineStr">
        <is>
          <t>Cannot extract + crown same tooth</t>
        </is>
      </c>
    </row>
    <row r="23">
      <c r="A23" s="34" t="inlineStr">
        <is>
          <t>D2740</t>
        </is>
      </c>
      <c r="B23" s="34" t="inlineStr">
        <is>
          <t>D7110</t>
        </is>
      </c>
      <c r="C23" s="34" t="inlineStr">
        <is>
          <t>Cannot extract + crown same tooth</t>
        </is>
      </c>
    </row>
    <row r="24">
      <c r="A24" s="33" t="inlineStr">
        <is>
          <t>D2740</t>
        </is>
      </c>
      <c r="B24" s="33" t="inlineStr">
        <is>
          <t>D7210</t>
        </is>
      </c>
      <c r="C24" s="33" t="inlineStr">
        <is>
          <t>Cannot extract + crown same tooth</t>
        </is>
      </c>
    </row>
    <row r="25">
      <c r="A25" s="34" t="inlineStr">
        <is>
          <t>D2740</t>
        </is>
      </c>
      <c r="B25" s="34" t="inlineStr">
        <is>
          <t>D2740</t>
        </is>
      </c>
      <c r="C25" s="34" t="inlineStr">
        <is>
          <t>Cannot do two crowns same tooth</t>
        </is>
      </c>
    </row>
    <row r="26">
      <c r="A26" s="33" t="inlineStr">
        <is>
          <t>D2740</t>
        </is>
      </c>
      <c r="B26" s="33" t="inlineStr">
        <is>
          <t>D2750</t>
        </is>
      </c>
      <c r="C26" s="33" t="inlineStr">
        <is>
          <t>Cannot bill two crown types same tooth</t>
        </is>
      </c>
    </row>
    <row r="27">
      <c r="A27" s="34" t="inlineStr">
        <is>
          <t>D2750</t>
        </is>
      </c>
      <c r="B27" s="34" t="inlineStr">
        <is>
          <t>D7140</t>
        </is>
      </c>
      <c r="C27" s="34" t="inlineStr">
        <is>
          <t>Cannot extract + crown same tooth</t>
        </is>
      </c>
    </row>
    <row r="28">
      <c r="A28" s="33" t="inlineStr">
        <is>
          <t>D2750</t>
        </is>
      </c>
      <c r="B28" s="33" t="inlineStr">
        <is>
          <t>D2740</t>
        </is>
      </c>
      <c r="C28" s="33" t="inlineStr">
        <is>
          <t>Cannot bill two crown types same tooth</t>
        </is>
      </c>
    </row>
    <row r="29">
      <c r="A29" s="34" t="inlineStr">
        <is>
          <t>D2750</t>
        </is>
      </c>
      <c r="B29" s="34" t="inlineStr">
        <is>
          <t>D6058</t>
        </is>
      </c>
      <c r="C29" s="34" t="inlineStr">
        <is>
          <t>Cannot do implant crown + natural crown same tooth</t>
        </is>
      </c>
    </row>
    <row r="30">
      <c r="A30" s="33" t="inlineStr">
        <is>
          <t>D2750</t>
        </is>
      </c>
      <c r="B30" s="33" t="inlineStr">
        <is>
          <t>D7110</t>
        </is>
      </c>
      <c r="C30" s="33" t="inlineStr">
        <is>
          <t>Cannot extract + crown same tooth</t>
        </is>
      </c>
    </row>
    <row r="31">
      <c r="A31" s="34" t="inlineStr">
        <is>
          <t>D2750</t>
        </is>
      </c>
      <c r="B31" s="34" t="inlineStr">
        <is>
          <t>D7210</t>
        </is>
      </c>
      <c r="C31" s="34" t="inlineStr">
        <is>
          <t>Cannot extract + crown same tooth</t>
        </is>
      </c>
    </row>
    <row r="32">
      <c r="A32" s="33" t="inlineStr">
        <is>
          <t>D2950</t>
        </is>
      </c>
      <c r="B32" s="33" t="inlineStr">
        <is>
          <t>D7140</t>
        </is>
      </c>
      <c r="C32" s="33" t="inlineStr">
        <is>
          <t>Cannot do buildup on extracted tooth</t>
        </is>
      </c>
    </row>
    <row r="33">
      <c r="A33" s="34" t="inlineStr">
        <is>
          <t>D2950</t>
        </is>
      </c>
      <c r="B33" s="34" t="inlineStr">
        <is>
          <t>D7110</t>
        </is>
      </c>
      <c r="C33" s="34" t="inlineStr">
        <is>
          <t>Cannot do buildup on extracted tooth</t>
        </is>
      </c>
    </row>
    <row r="34">
      <c r="A34" s="33" t="inlineStr">
        <is>
          <t>D2950</t>
        </is>
      </c>
      <c r="B34" s="33" t="inlineStr">
        <is>
          <t>D7210</t>
        </is>
      </c>
      <c r="C34" s="33" t="inlineStr">
        <is>
          <t>Cannot do buildup on extracted tooth</t>
        </is>
      </c>
    </row>
    <row r="35">
      <c r="A35" s="34" t="inlineStr">
        <is>
          <t>D3310</t>
        </is>
      </c>
      <c r="B35" s="34" t="inlineStr">
        <is>
          <t>D7140</t>
        </is>
      </c>
      <c r="C35" s="34" t="inlineStr">
        <is>
          <t>Cannot extract + root canal same tooth</t>
        </is>
      </c>
    </row>
    <row r="36">
      <c r="A36" s="33" t="inlineStr">
        <is>
          <t>D3310</t>
        </is>
      </c>
      <c r="B36" s="33" t="inlineStr">
        <is>
          <t>D7110</t>
        </is>
      </c>
      <c r="C36" s="33" t="inlineStr">
        <is>
          <t>Cannot extract + root canal same tooth</t>
        </is>
      </c>
    </row>
    <row r="37">
      <c r="A37" s="34" t="inlineStr">
        <is>
          <t>D3310</t>
        </is>
      </c>
      <c r="B37" s="34" t="inlineStr">
        <is>
          <t>D7210</t>
        </is>
      </c>
      <c r="C37" s="34" t="inlineStr">
        <is>
          <t>Cannot extract + root canal same tooth</t>
        </is>
      </c>
    </row>
    <row r="38">
      <c r="A38" s="33" t="inlineStr">
        <is>
          <t>D3320</t>
        </is>
      </c>
      <c r="B38" s="33" t="inlineStr">
        <is>
          <t>D7140</t>
        </is>
      </c>
      <c r="C38" s="33" t="inlineStr">
        <is>
          <t>Cannot extract + root canal same tooth</t>
        </is>
      </c>
    </row>
    <row r="39">
      <c r="A39" s="34" t="inlineStr">
        <is>
          <t>D3320</t>
        </is>
      </c>
      <c r="B39" s="34" t="inlineStr">
        <is>
          <t>D7110</t>
        </is>
      </c>
      <c r="C39" s="34" t="inlineStr">
        <is>
          <t>Cannot extract + root canal same tooth</t>
        </is>
      </c>
    </row>
    <row r="40">
      <c r="A40" s="33" t="inlineStr">
        <is>
          <t>D3320</t>
        </is>
      </c>
      <c r="B40" s="33" t="inlineStr">
        <is>
          <t>D7210</t>
        </is>
      </c>
      <c r="C40" s="33" t="inlineStr">
        <is>
          <t>Cannot extract + root canal same tooth</t>
        </is>
      </c>
    </row>
    <row r="41">
      <c r="A41" s="34" t="inlineStr">
        <is>
          <t>D3320</t>
        </is>
      </c>
      <c r="B41" s="34" t="inlineStr">
        <is>
          <t>D7210</t>
        </is>
      </c>
      <c r="C41" s="34" t="inlineStr">
        <is>
          <t>Cannot extract + root canal same tooth</t>
        </is>
      </c>
    </row>
    <row r="42">
      <c r="A42" s="33" t="inlineStr">
        <is>
          <t>D3330</t>
        </is>
      </c>
      <c r="B42" s="33" t="inlineStr">
        <is>
          <t>D7140</t>
        </is>
      </c>
      <c r="C42" s="33" t="inlineStr">
        <is>
          <t>Cannot extract + root canal same tooth</t>
        </is>
      </c>
    </row>
    <row r="43">
      <c r="A43" s="34" t="inlineStr">
        <is>
          <t>D3330</t>
        </is>
      </c>
      <c r="B43" s="34" t="inlineStr">
        <is>
          <t>D7110</t>
        </is>
      </c>
      <c r="C43" s="34" t="inlineStr">
        <is>
          <t>Cannot extract + root canal same tooth</t>
        </is>
      </c>
    </row>
    <row r="44">
      <c r="A44" s="33" t="inlineStr">
        <is>
          <t>D3330</t>
        </is>
      </c>
      <c r="B44" s="33" t="inlineStr">
        <is>
          <t>D7210</t>
        </is>
      </c>
      <c r="C44" s="33" t="inlineStr">
        <is>
          <t>Cannot extract + root canal same tooth</t>
        </is>
      </c>
    </row>
    <row r="45">
      <c r="A45" s="34" t="inlineStr">
        <is>
          <t>D3330</t>
        </is>
      </c>
      <c r="B45" s="34" t="inlineStr">
        <is>
          <t>D7210</t>
        </is>
      </c>
      <c r="C45" s="34" t="inlineStr">
        <is>
          <t>Cannot extract + root canal same tooth</t>
        </is>
      </c>
    </row>
    <row r="46">
      <c r="A46" s="33" t="inlineStr">
        <is>
          <t>D4341</t>
        </is>
      </c>
      <c r="B46" s="33" t="inlineStr">
        <is>
          <t>D1110</t>
        </is>
      </c>
      <c r="C46" s="33" t="inlineStr">
        <is>
          <t>Cannot do prophy + SRP same day</t>
        </is>
      </c>
    </row>
    <row r="47">
      <c r="A47" s="34" t="inlineStr">
        <is>
          <t>D4341</t>
        </is>
      </c>
      <c r="B47" s="34" t="inlineStr">
        <is>
          <t>D4910</t>
        </is>
      </c>
      <c r="C47" s="34" t="inlineStr">
        <is>
          <t>Cannot bill SRP as maintenance</t>
        </is>
      </c>
    </row>
    <row r="48">
      <c r="A48" s="33" t="inlineStr">
        <is>
          <t>D4342</t>
        </is>
      </c>
      <c r="B48" s="33" t="inlineStr">
        <is>
          <t>D1110</t>
        </is>
      </c>
      <c r="C48" s="33" t="inlineStr">
        <is>
          <t>Cannot do prophy + SRP same day</t>
        </is>
      </c>
    </row>
    <row r="49">
      <c r="A49" s="34" t="inlineStr">
        <is>
          <t>D4342</t>
        </is>
      </c>
      <c r="B49" s="34" t="inlineStr">
        <is>
          <t>D4910</t>
        </is>
      </c>
      <c r="C49" s="34" t="inlineStr">
        <is>
          <t>Cannot bill SRP as maintenance</t>
        </is>
      </c>
    </row>
    <row r="50">
      <c r="A50" s="33" t="inlineStr">
        <is>
          <t>D4910</t>
        </is>
      </c>
      <c r="B50" s="33" t="inlineStr">
        <is>
          <t>D1110</t>
        </is>
      </c>
      <c r="C50" s="33" t="inlineStr">
        <is>
          <t>Cannot bill prophy as maintenance</t>
        </is>
      </c>
    </row>
    <row r="51">
      <c r="A51" s="34" t="inlineStr">
        <is>
          <t>D5110</t>
        </is>
      </c>
      <c r="B51" s="34" t="inlineStr">
        <is>
          <t>D5110</t>
        </is>
      </c>
      <c r="C51" s="34" t="inlineStr">
        <is>
          <t>Cannot bill two upper dentures same day</t>
        </is>
      </c>
    </row>
    <row r="52">
      <c r="A52" s="33" t="inlineStr">
        <is>
          <t>D5120</t>
        </is>
      </c>
      <c r="B52" s="33" t="inlineStr">
        <is>
          <t>D5120</t>
        </is>
      </c>
      <c r="C52" s="33" t="inlineStr">
        <is>
          <t>Cannot bill two lower dentures same day</t>
        </is>
      </c>
    </row>
    <row r="53">
      <c r="A53" s="34" t="inlineStr">
        <is>
          <t>D6058</t>
        </is>
      </c>
      <c r="B53" s="34" t="inlineStr">
        <is>
          <t>D2740</t>
        </is>
      </c>
      <c r="C53" s="34" t="inlineStr">
        <is>
          <t>Cannot do implant crown + natural crown same tooth</t>
        </is>
      </c>
    </row>
    <row r="54">
      <c r="A54" s="33" t="inlineStr">
        <is>
          <t>D6058</t>
        </is>
      </c>
      <c r="B54" s="33" t="inlineStr">
        <is>
          <t>D7140</t>
        </is>
      </c>
      <c r="C54" s="33" t="inlineStr">
        <is>
          <t>Cannot extract + crown same tooth</t>
        </is>
      </c>
    </row>
    <row r="55">
      <c r="A55" s="34" t="inlineStr">
        <is>
          <t>D6080</t>
        </is>
      </c>
      <c r="B55" s="34" t="inlineStr">
        <is>
          <t>D1110</t>
        </is>
      </c>
      <c r="C55" s="34" t="inlineStr">
        <is>
          <t>Not same as prophylaxis</t>
        </is>
      </c>
    </row>
    <row r="56">
      <c r="A56" s="33" t="inlineStr">
        <is>
          <t>D6080</t>
        </is>
      </c>
      <c r="B56" s="33" t="inlineStr">
        <is>
          <t>D4910</t>
        </is>
      </c>
      <c r="C56" s="33" t="inlineStr">
        <is>
          <t>Not same as perio maintenance</t>
        </is>
      </c>
    </row>
    <row r="57">
      <c r="A57" s="34" t="inlineStr">
        <is>
          <t>D7110</t>
        </is>
      </c>
      <c r="B57" s="34" t="inlineStr">
        <is>
          <t>D2740</t>
        </is>
      </c>
      <c r="C57" s="34" t="inlineStr">
        <is>
          <t>Cannot crown extracted tooth</t>
        </is>
      </c>
    </row>
    <row r="58">
      <c r="A58" s="33" t="inlineStr">
        <is>
          <t>D7110</t>
        </is>
      </c>
      <c r="B58" s="33" t="inlineStr">
        <is>
          <t>D2750</t>
        </is>
      </c>
      <c r="C58" s="33" t="inlineStr">
        <is>
          <t>Cannot crown extracted tooth</t>
        </is>
      </c>
    </row>
    <row r="59">
      <c r="A59" s="34" t="inlineStr">
        <is>
          <t>D7110</t>
        </is>
      </c>
      <c r="B59" s="34" t="inlineStr">
        <is>
          <t>D3330</t>
        </is>
      </c>
      <c r="C59" s="34" t="inlineStr">
        <is>
          <t>Cannot root canal extracted tooth</t>
        </is>
      </c>
    </row>
    <row r="60">
      <c r="A60" s="33" t="inlineStr">
        <is>
          <t>D7110</t>
        </is>
      </c>
      <c r="B60" s="33" t="inlineStr">
        <is>
          <t>D3310</t>
        </is>
      </c>
      <c r="C60" s="33" t="inlineStr">
        <is>
          <t>Cannot root canal extracted tooth</t>
        </is>
      </c>
    </row>
    <row r="61">
      <c r="A61" s="34" t="inlineStr">
        <is>
          <t>D7110</t>
        </is>
      </c>
      <c r="B61" s="34" t="inlineStr">
        <is>
          <t>D6058</t>
        </is>
      </c>
      <c r="C61" s="34" t="inlineStr">
        <is>
          <t>Cannot place implant crown same day</t>
        </is>
      </c>
    </row>
    <row r="62">
      <c r="A62" s="33" t="inlineStr">
        <is>
          <t>D7110</t>
        </is>
      </c>
      <c r="B62" s="33" t="inlineStr">
        <is>
          <t>D2391</t>
        </is>
      </c>
      <c r="C62" s="33" t="inlineStr">
        <is>
          <t>Cannot fill extracted tooth</t>
        </is>
      </c>
    </row>
    <row r="63">
      <c r="A63" s="34" t="inlineStr">
        <is>
          <t>D7110</t>
        </is>
      </c>
      <c r="B63" s="34" t="inlineStr">
        <is>
          <t>D2950</t>
        </is>
      </c>
      <c r="C63" s="34" t="inlineStr">
        <is>
          <t>Cannot buildup extracted tooth</t>
        </is>
      </c>
    </row>
    <row r="64">
      <c r="A64" s="33" t="inlineStr">
        <is>
          <t>D7140</t>
        </is>
      </c>
      <c r="B64" s="33" t="inlineStr">
        <is>
          <t>D2740</t>
        </is>
      </c>
      <c r="C64" s="33" t="inlineStr">
        <is>
          <t>Cannot crown extracted tooth</t>
        </is>
      </c>
    </row>
    <row r="65">
      <c r="A65" s="34" t="inlineStr">
        <is>
          <t>D7140</t>
        </is>
      </c>
      <c r="B65" s="34" t="inlineStr">
        <is>
          <t>D2750</t>
        </is>
      </c>
      <c r="C65" s="34" t="inlineStr">
        <is>
          <t>Cannot crown extracted tooth</t>
        </is>
      </c>
    </row>
    <row r="66">
      <c r="A66" s="33" t="inlineStr">
        <is>
          <t>D7140</t>
        </is>
      </c>
      <c r="B66" s="33" t="inlineStr">
        <is>
          <t>D3330</t>
        </is>
      </c>
      <c r="C66" s="33" t="inlineStr">
        <is>
          <t>Cannot root canal extracted tooth</t>
        </is>
      </c>
    </row>
    <row r="67">
      <c r="A67" s="34" t="inlineStr">
        <is>
          <t>D7140</t>
        </is>
      </c>
      <c r="B67" s="34" t="inlineStr">
        <is>
          <t>D3310</t>
        </is>
      </c>
      <c r="C67" s="34" t="inlineStr">
        <is>
          <t>Cannot root canal extracted tooth</t>
        </is>
      </c>
    </row>
    <row r="68">
      <c r="A68" s="33" t="inlineStr">
        <is>
          <t>D7140</t>
        </is>
      </c>
      <c r="B68" s="33" t="inlineStr">
        <is>
          <t>D6058</t>
        </is>
      </c>
      <c r="C68" s="33" t="inlineStr">
        <is>
          <t>Cannot place implant crown same day</t>
        </is>
      </c>
    </row>
    <row r="69">
      <c r="A69" s="34" t="inlineStr">
        <is>
          <t>D7140</t>
        </is>
      </c>
      <c r="B69" s="34" t="inlineStr">
        <is>
          <t>D2391</t>
        </is>
      </c>
      <c r="C69" s="34" t="inlineStr">
        <is>
          <t>Cannot fill extracted tooth</t>
        </is>
      </c>
    </row>
    <row r="70">
      <c r="A70" s="33" t="inlineStr">
        <is>
          <t>D7140</t>
        </is>
      </c>
      <c r="B70" s="33" t="inlineStr">
        <is>
          <t>D2950</t>
        </is>
      </c>
      <c r="C70" s="33" t="inlineStr">
        <is>
          <t>Cannot buildup extracted tooth</t>
        </is>
      </c>
    </row>
    <row r="71">
      <c r="A71" s="34" t="inlineStr">
        <is>
          <t>D7210</t>
        </is>
      </c>
      <c r="B71" s="34" t="inlineStr">
        <is>
          <t>D2740</t>
        </is>
      </c>
      <c r="C71" s="34" t="inlineStr">
        <is>
          <t>Cannot crown extracted tooth</t>
        </is>
      </c>
    </row>
    <row r="72">
      <c r="A72" s="33" t="inlineStr">
        <is>
          <t>D7210</t>
        </is>
      </c>
      <c r="B72" s="33" t="inlineStr">
        <is>
          <t>D2750</t>
        </is>
      </c>
      <c r="C72" s="33" t="inlineStr">
        <is>
          <t>Cannot crown extracted tooth</t>
        </is>
      </c>
    </row>
    <row r="73">
      <c r="A73" s="34" t="inlineStr">
        <is>
          <t>D7210</t>
        </is>
      </c>
      <c r="B73" s="34" t="inlineStr">
        <is>
          <t>D3330</t>
        </is>
      </c>
      <c r="C73" s="34" t="inlineStr">
        <is>
          <t>Cannot root canal extracted tooth</t>
        </is>
      </c>
    </row>
    <row r="74">
      <c r="A74" s="33" t="inlineStr">
        <is>
          <t>D7210</t>
        </is>
      </c>
      <c r="B74" s="33" t="inlineStr">
        <is>
          <t>D3310</t>
        </is>
      </c>
      <c r="C74" s="33" t="inlineStr">
        <is>
          <t>Cannot root canal extracted tooth</t>
        </is>
      </c>
    </row>
    <row r="75">
      <c r="A75" s="34" t="inlineStr">
        <is>
          <t>D7210</t>
        </is>
      </c>
      <c r="B75" s="34" t="inlineStr">
        <is>
          <t>D6058</t>
        </is>
      </c>
      <c r="C75" s="34" t="inlineStr">
        <is>
          <t>Cannot place implant crown same day</t>
        </is>
      </c>
    </row>
    <row r="76">
      <c r="A76" s="33" t="inlineStr">
        <is>
          <t>D7210</t>
        </is>
      </c>
      <c r="B76" s="33" t="inlineStr">
        <is>
          <t>D2950</t>
        </is>
      </c>
      <c r="C76" s="33" t="inlineStr">
        <is>
          <t>Cannot buildup extracted tooth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7a4d"/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40" customWidth="1" min="4" max="4"/>
  </cols>
  <sheetData>
    <row r="1">
      <c r="A1" s="37" t="inlineStr">
        <is>
          <t>Parent Code</t>
        </is>
      </c>
      <c r="B1" s="37" t="inlineStr">
        <is>
          <t>Next Code</t>
        </is>
      </c>
      <c r="C1" s="37" t="inlineStr">
        <is>
          <t>Description</t>
        </is>
      </c>
      <c r="D1" s="37" t="inlineStr">
        <is>
          <t>Timeframe</t>
        </is>
      </c>
    </row>
    <row r="2">
      <c r="A2" s="33" t="inlineStr">
        <is>
          <t>D0120</t>
        </is>
      </c>
      <c r="B2" s="33" t="inlineStr">
        <is>
          <t>D1110</t>
        </is>
      </c>
      <c r="C2" s="33" t="inlineStr">
        <is>
          <t>Prophylaxis</t>
        </is>
      </c>
      <c r="D2" s="33" t="inlineStr">
        <is>
          <t>Same day</t>
        </is>
      </c>
    </row>
    <row r="3">
      <c r="A3" s="34" t="inlineStr">
        <is>
          <t>D0120</t>
        </is>
      </c>
      <c r="B3" s="34" t="inlineStr">
        <is>
          <t>D0274</t>
        </is>
      </c>
      <c r="C3" s="34" t="inlineStr">
        <is>
          <t>Bitewing X-rays</t>
        </is>
      </c>
      <c r="D3" s="34" t="inlineStr">
        <is>
          <t>If needed</t>
        </is>
      </c>
    </row>
    <row r="4">
      <c r="A4" s="33" t="inlineStr">
        <is>
          <t>D0150</t>
        </is>
      </c>
      <c r="B4" s="33" t="inlineStr">
        <is>
          <t>D1110</t>
        </is>
      </c>
      <c r="C4" s="33" t="inlineStr">
        <is>
          <t>Prophylaxis</t>
        </is>
      </c>
      <c r="D4" s="33" t="inlineStr">
        <is>
          <t>Same day</t>
        </is>
      </c>
    </row>
    <row r="5">
      <c r="A5" s="34" t="inlineStr">
        <is>
          <t>D0150</t>
        </is>
      </c>
      <c r="B5" s="34" t="inlineStr">
        <is>
          <t>D0210</t>
        </is>
      </c>
      <c r="C5" s="34" t="inlineStr">
        <is>
          <t>Full mouth X-rays</t>
        </is>
      </c>
      <c r="D5" s="34" t="inlineStr">
        <is>
          <t>Same day</t>
        </is>
      </c>
    </row>
    <row r="6">
      <c r="A6" s="33" t="inlineStr">
        <is>
          <t>D0180</t>
        </is>
      </c>
      <c r="B6" s="33" t="inlineStr">
        <is>
          <t>D4341</t>
        </is>
      </c>
      <c r="C6" s="33" t="inlineStr">
        <is>
          <t>SRP if perio diagnosed</t>
        </is>
      </c>
      <c r="D6" s="33" t="inlineStr">
        <is>
          <t>After eval</t>
        </is>
      </c>
    </row>
    <row r="7">
      <c r="A7" s="34" t="inlineStr">
        <is>
          <t>D0180</t>
        </is>
      </c>
      <c r="B7" s="34" t="inlineStr">
        <is>
          <t>D1110</t>
        </is>
      </c>
      <c r="C7" s="34" t="inlineStr">
        <is>
          <t>Prophy if healthy</t>
        </is>
      </c>
      <c r="D7" s="34" t="inlineStr">
        <is>
          <t>Same or follow-up</t>
        </is>
      </c>
    </row>
    <row r="8">
      <c r="A8" s="33" t="inlineStr">
        <is>
          <t>D0210</t>
        </is>
      </c>
      <c r="B8" s="33" t="inlineStr">
        <is>
          <t>D0150</t>
        </is>
      </c>
      <c r="C8" s="33" t="inlineStr">
        <is>
          <t>Comprehensive exam</t>
        </is>
      </c>
      <c r="D8" s="33" t="inlineStr">
        <is>
          <t>Same day</t>
        </is>
      </c>
    </row>
    <row r="9">
      <c r="A9" s="34" t="inlineStr">
        <is>
          <t>D0330</t>
        </is>
      </c>
      <c r="B9" s="34" t="inlineStr">
        <is>
          <t>D0150</t>
        </is>
      </c>
      <c r="C9" s="34" t="inlineStr">
        <is>
          <t>Comprehensive exam</t>
        </is>
      </c>
      <c r="D9" s="34" t="inlineStr">
        <is>
          <t>Same day</t>
        </is>
      </c>
    </row>
    <row r="10">
      <c r="A10" s="33" t="inlineStr">
        <is>
          <t>D2393</t>
        </is>
      </c>
      <c r="B10" s="33" t="inlineStr">
        <is>
          <t>D2740</t>
        </is>
      </c>
      <c r="C10" s="33" t="inlineStr">
        <is>
          <t>Crown if weakened</t>
        </is>
      </c>
      <c r="D10" s="33" t="inlineStr">
        <is>
          <t>Consider</t>
        </is>
      </c>
    </row>
    <row r="11">
      <c r="A11" s="34" t="inlineStr">
        <is>
          <t>D2394</t>
        </is>
      </c>
      <c r="B11" s="34" t="inlineStr">
        <is>
          <t>D2740</t>
        </is>
      </c>
      <c r="C11" s="34" t="inlineStr">
        <is>
          <t>Crown strongly consider</t>
        </is>
      </c>
      <c r="D11" s="34" t="inlineStr">
        <is>
          <t>Likely minimal structure left</t>
        </is>
      </c>
    </row>
    <row r="12">
      <c r="A12" s="33" t="inlineStr">
        <is>
          <t>D2740</t>
        </is>
      </c>
      <c r="B12" s="33" t="inlineStr">
        <is>
          <t>D2950</t>
        </is>
      </c>
      <c r="C12" s="33" t="inlineStr">
        <is>
          <t>Core buildup if needed</t>
        </is>
      </c>
      <c r="D12" s="33" t="inlineStr">
        <is>
          <t>Same or prior</t>
        </is>
      </c>
    </row>
    <row r="13">
      <c r="A13" s="34" t="inlineStr">
        <is>
          <t>D2750</t>
        </is>
      </c>
      <c r="B13" s="34" t="inlineStr">
        <is>
          <t>D2950</t>
        </is>
      </c>
      <c r="C13" s="34" t="inlineStr">
        <is>
          <t>Core buildup</t>
        </is>
      </c>
      <c r="D13" s="34" t="inlineStr">
        <is>
          <t>Same or prior</t>
        </is>
      </c>
    </row>
    <row r="14">
      <c r="A14" s="33" t="inlineStr">
        <is>
          <t>D2950</t>
        </is>
      </c>
      <c r="B14" s="33" t="inlineStr">
        <is>
          <t>D2740</t>
        </is>
      </c>
      <c r="C14" s="33" t="inlineStr">
        <is>
          <t>Crown placement</t>
        </is>
      </c>
      <c r="D14" s="33" t="inlineStr">
        <is>
          <t>Same or follow-up</t>
        </is>
      </c>
    </row>
    <row r="15">
      <c r="A15" s="34" t="inlineStr">
        <is>
          <t>D2950</t>
        </is>
      </c>
      <c r="B15" s="34" t="inlineStr">
        <is>
          <t>D2750</t>
        </is>
      </c>
      <c r="C15" s="34" t="inlineStr">
        <is>
          <t>Crown PFM</t>
        </is>
      </c>
      <c r="D15" s="34" t="inlineStr">
        <is>
          <t>Same or follow-up</t>
        </is>
      </c>
    </row>
    <row r="16">
      <c r="A16" s="33" t="inlineStr">
        <is>
          <t>D2952</t>
        </is>
      </c>
      <c r="B16" s="33" t="inlineStr">
        <is>
          <t>D2740</t>
        </is>
      </c>
      <c r="C16" s="33" t="inlineStr">
        <is>
          <t>Crown</t>
        </is>
      </c>
      <c r="D16" s="33" t="inlineStr">
        <is>
          <t>After post/core</t>
        </is>
      </c>
    </row>
    <row r="17">
      <c r="A17" s="34" t="inlineStr">
        <is>
          <t>D2952</t>
        </is>
      </c>
      <c r="B17" s="34" t="inlineStr">
        <is>
          <t>D2750</t>
        </is>
      </c>
      <c r="C17" s="34" t="inlineStr">
        <is>
          <t>Crown PFM</t>
        </is>
      </c>
      <c r="D17" s="34" t="inlineStr">
        <is>
          <t>After post/core</t>
        </is>
      </c>
    </row>
    <row r="18">
      <c r="A18" s="33" t="inlineStr">
        <is>
          <t>D3310</t>
        </is>
      </c>
      <c r="B18" s="33" t="inlineStr">
        <is>
          <t>D2950</t>
        </is>
      </c>
      <c r="C18" s="33" t="inlineStr">
        <is>
          <t>Core buildup if needed</t>
        </is>
      </c>
      <c r="D18" s="33" t="inlineStr">
        <is>
          <t>After root canal</t>
        </is>
      </c>
    </row>
    <row r="19">
      <c r="A19" s="34" t="inlineStr">
        <is>
          <t>D3310</t>
        </is>
      </c>
      <c r="B19" s="34" t="inlineStr">
        <is>
          <t>D2740</t>
        </is>
      </c>
      <c r="C19" s="34" t="inlineStr">
        <is>
          <t>Crown if weakened</t>
        </is>
      </c>
      <c r="D19" s="34" t="inlineStr">
        <is>
          <t>As needed</t>
        </is>
      </c>
    </row>
    <row r="20">
      <c r="A20" s="33" t="inlineStr">
        <is>
          <t>D3320</t>
        </is>
      </c>
      <c r="B20" s="33" t="inlineStr">
        <is>
          <t>D2950</t>
        </is>
      </c>
      <c r="C20" s="33" t="inlineStr">
        <is>
          <t>Core buildup</t>
        </is>
      </c>
      <c r="D20" s="33" t="inlineStr">
        <is>
          <t>After root canal</t>
        </is>
      </c>
    </row>
    <row r="21">
      <c r="A21" s="34" t="inlineStr">
        <is>
          <t>D3320</t>
        </is>
      </c>
      <c r="B21" s="34" t="inlineStr">
        <is>
          <t>D2740</t>
        </is>
      </c>
      <c r="C21" s="34" t="inlineStr">
        <is>
          <t>Crown recommended</t>
        </is>
      </c>
      <c r="D21" s="34" t="inlineStr">
        <is>
          <t>After root canal</t>
        </is>
      </c>
    </row>
    <row r="22">
      <c r="A22" s="33" t="inlineStr">
        <is>
          <t>D3330</t>
        </is>
      </c>
      <c r="B22" s="33" t="inlineStr">
        <is>
          <t>D2950</t>
        </is>
      </c>
      <c r="C22" s="33" t="inlineStr">
        <is>
          <t>Core buildup</t>
        </is>
      </c>
      <c r="D22" s="33" t="inlineStr">
        <is>
          <t>After root canal</t>
        </is>
      </c>
    </row>
    <row r="23">
      <c r="A23" s="34" t="inlineStr">
        <is>
          <t>D3330</t>
        </is>
      </c>
      <c r="B23" s="34" t="inlineStr">
        <is>
          <t>D2740</t>
        </is>
      </c>
      <c r="C23" s="34" t="inlineStr">
        <is>
          <t>Crown - STRONGLY recommended</t>
        </is>
      </c>
      <c r="D23" s="34" t="inlineStr">
        <is>
          <t>Within 1-2mo</t>
        </is>
      </c>
    </row>
    <row r="24">
      <c r="A24" s="33" t="inlineStr">
        <is>
          <t>D3330</t>
        </is>
      </c>
      <c r="B24" s="33" t="inlineStr">
        <is>
          <t>D2952</t>
        </is>
      </c>
      <c r="C24" s="33" t="inlineStr">
        <is>
          <t>Post/core if needed</t>
        </is>
      </c>
      <c r="D24" s="33" t="inlineStr">
        <is>
          <t>If insufficient structure</t>
        </is>
      </c>
    </row>
    <row r="25">
      <c r="A25" s="34" t="inlineStr">
        <is>
          <t>D4341</t>
        </is>
      </c>
      <c r="B25" s="34" t="inlineStr">
        <is>
          <t>D4910</t>
        </is>
      </c>
      <c r="C25" s="34" t="inlineStr">
        <is>
          <t>Periodontal maintenance</t>
        </is>
      </c>
      <c r="D25" s="34" t="inlineStr">
        <is>
          <t>3mo after SRP</t>
        </is>
      </c>
    </row>
    <row r="26">
      <c r="A26" s="33" t="inlineStr">
        <is>
          <t>D4342</t>
        </is>
      </c>
      <c r="B26" s="33" t="inlineStr">
        <is>
          <t>D4910</t>
        </is>
      </c>
      <c r="C26" s="33" t="inlineStr">
        <is>
          <t>Periodontal maintenance</t>
        </is>
      </c>
      <c r="D26" s="33" t="inlineStr">
        <is>
          <t>3mo after SRP</t>
        </is>
      </c>
    </row>
    <row r="27">
      <c r="A27" s="34" t="inlineStr">
        <is>
          <t>D4910</t>
        </is>
      </c>
      <c r="B27" s="34" t="inlineStr">
        <is>
          <t>D4910</t>
        </is>
      </c>
      <c r="C27" s="34" t="inlineStr">
        <is>
          <t>Perio maintenance recare</t>
        </is>
      </c>
      <c r="D27" s="34" t="inlineStr">
        <is>
          <t>Every 3mo</t>
        </is>
      </c>
    </row>
    <row r="28">
      <c r="A28" s="33" t="inlineStr">
        <is>
          <t>D5110</t>
        </is>
      </c>
      <c r="B28" s="33" t="inlineStr">
        <is>
          <t>D5120</t>
        </is>
      </c>
      <c r="C28" s="33" t="inlineStr">
        <is>
          <t>Complete denture - lower</t>
        </is>
      </c>
      <c r="D28" s="33" t="inlineStr">
        <is>
          <t>Same plan</t>
        </is>
      </c>
    </row>
    <row r="29">
      <c r="A29" s="34" t="inlineStr">
        <is>
          <t>D5110</t>
        </is>
      </c>
      <c r="B29" s="34" t="inlineStr">
        <is>
          <t>D5731</t>
        </is>
      </c>
      <c r="C29" s="34" t="inlineStr">
        <is>
          <t>Denture reline</t>
        </is>
      </c>
      <c r="D29" s="34" t="inlineStr">
        <is>
          <t>6-12mo</t>
        </is>
      </c>
    </row>
    <row r="30">
      <c r="A30" s="33" t="inlineStr">
        <is>
          <t>D5120</t>
        </is>
      </c>
      <c r="B30" s="33" t="inlineStr">
        <is>
          <t>D5731</t>
        </is>
      </c>
      <c r="C30" s="33" t="inlineStr">
        <is>
          <t>Denture reline</t>
        </is>
      </c>
      <c r="D30" s="33" t="inlineStr">
        <is>
          <t>6-12mo</t>
        </is>
      </c>
    </row>
    <row r="31">
      <c r="A31" s="34" t="inlineStr">
        <is>
          <t>D5130</t>
        </is>
      </c>
      <c r="B31" s="34" t="inlineStr">
        <is>
          <t>D5731</t>
        </is>
      </c>
      <c r="C31" s="34" t="inlineStr">
        <is>
          <t>Denture reline</t>
        </is>
      </c>
      <c r="D31" s="34" t="inlineStr">
        <is>
          <t>3-6mo</t>
        </is>
      </c>
    </row>
    <row r="32">
      <c r="A32" s="33" t="inlineStr">
        <is>
          <t>D5130</t>
        </is>
      </c>
      <c r="B32" s="33" t="inlineStr">
        <is>
          <t>D5110</t>
        </is>
      </c>
      <c r="C32" s="33" t="inlineStr">
        <is>
          <t>Permanent denture</t>
        </is>
      </c>
      <c r="D32" s="33" t="inlineStr">
        <is>
          <t>After healing</t>
        </is>
      </c>
    </row>
    <row r="33">
      <c r="A33" s="34" t="inlineStr">
        <is>
          <t>D5140</t>
        </is>
      </c>
      <c r="B33" s="34" t="inlineStr">
        <is>
          <t>D5731</t>
        </is>
      </c>
      <c r="C33" s="34" t="inlineStr">
        <is>
          <t>Denture reline</t>
        </is>
      </c>
      <c r="D33" s="34" t="inlineStr">
        <is>
          <t>3-6mo</t>
        </is>
      </c>
    </row>
    <row r="34">
      <c r="A34" s="33" t="inlineStr">
        <is>
          <t>D5140</t>
        </is>
      </c>
      <c r="B34" s="33" t="inlineStr">
        <is>
          <t>D5120</t>
        </is>
      </c>
      <c r="C34" s="33" t="inlineStr">
        <is>
          <t>Permanent denture</t>
        </is>
      </c>
      <c r="D34" s="33" t="inlineStr">
        <is>
          <t>After healing</t>
        </is>
      </c>
    </row>
    <row r="35">
      <c r="A35" s="34" t="inlineStr">
        <is>
          <t>D5213</t>
        </is>
      </c>
      <c r="B35" s="34" t="inlineStr">
        <is>
          <t>D5731</t>
        </is>
      </c>
      <c r="C35" s="34" t="inlineStr">
        <is>
          <t>Denture reline</t>
        </is>
      </c>
      <c r="D35" s="34" t="inlineStr">
        <is>
          <t>6-12mo</t>
        </is>
      </c>
    </row>
    <row r="36">
      <c r="A36" s="33" t="inlineStr">
        <is>
          <t>D5214</t>
        </is>
      </c>
      <c r="B36" s="33" t="inlineStr">
        <is>
          <t>D5731</t>
        </is>
      </c>
      <c r="C36" s="33" t="inlineStr">
        <is>
          <t>Denture reline</t>
        </is>
      </c>
      <c r="D36" s="33" t="inlineStr">
        <is>
          <t>6-12mo</t>
        </is>
      </c>
    </row>
    <row r="37">
      <c r="A37" s="34" t="inlineStr">
        <is>
          <t>D6010</t>
        </is>
      </c>
      <c r="B37" s="34" t="inlineStr">
        <is>
          <t>D6056</t>
        </is>
      </c>
      <c r="C37" s="34" t="inlineStr">
        <is>
          <t>Prefabricated abutment</t>
        </is>
      </c>
      <c r="D37" s="34" t="inlineStr">
        <is>
          <t>3-6mo after</t>
        </is>
      </c>
    </row>
    <row r="38">
      <c r="A38" s="33" t="inlineStr">
        <is>
          <t>D6010</t>
        </is>
      </c>
      <c r="B38" s="33" t="inlineStr">
        <is>
          <t>D6058</t>
        </is>
      </c>
      <c r="C38" s="33" t="inlineStr">
        <is>
          <t>Implant crown</t>
        </is>
      </c>
      <c r="D38" s="33" t="inlineStr">
        <is>
          <t>After abutment</t>
        </is>
      </c>
    </row>
    <row r="39">
      <c r="A39" s="34" t="inlineStr">
        <is>
          <t>D6010</t>
        </is>
      </c>
      <c r="B39" s="34" t="inlineStr">
        <is>
          <t>D6080</t>
        </is>
      </c>
      <c r="C39" s="34" t="inlineStr">
        <is>
          <t>Implant maintenance</t>
        </is>
      </c>
      <c r="D39" s="34" t="inlineStr">
        <is>
          <t>After restoration</t>
        </is>
      </c>
    </row>
    <row r="40">
      <c r="A40" s="33" t="inlineStr">
        <is>
          <t>D6056</t>
        </is>
      </c>
      <c r="B40" s="33" t="inlineStr">
        <is>
          <t>D6058</t>
        </is>
      </c>
      <c r="C40" s="33" t="inlineStr">
        <is>
          <t>Implant crown</t>
        </is>
      </c>
      <c r="D40" s="33" t="inlineStr">
        <is>
          <t>Same day or within weeks</t>
        </is>
      </c>
    </row>
    <row r="41">
      <c r="A41" s="34" t="inlineStr">
        <is>
          <t>D6058</t>
        </is>
      </c>
      <c r="B41" s="34" t="inlineStr">
        <is>
          <t>D6080</t>
        </is>
      </c>
      <c r="C41" s="34" t="inlineStr">
        <is>
          <t>Implant maintenance</t>
        </is>
      </c>
      <c r="D41" s="34" t="inlineStr">
        <is>
          <t>Regular after crown</t>
        </is>
      </c>
    </row>
    <row r="42">
      <c r="A42" s="33" t="inlineStr">
        <is>
          <t>D6080</t>
        </is>
      </c>
      <c r="B42" s="33" t="inlineStr">
        <is>
          <t>D6080</t>
        </is>
      </c>
      <c r="C42" s="33" t="inlineStr">
        <is>
          <t>Implant maintenance recare</t>
        </is>
      </c>
      <c r="D42" s="33" t="inlineStr">
        <is>
          <t>Every 6mo</t>
        </is>
      </c>
    </row>
    <row r="43">
      <c r="A43" s="34" t="inlineStr">
        <is>
          <t>D7110</t>
        </is>
      </c>
      <c r="B43" s="34" t="inlineStr">
        <is>
          <t>D6010</t>
        </is>
      </c>
      <c r="C43" s="34" t="inlineStr">
        <is>
          <t>Implant placement</t>
        </is>
      </c>
      <c r="D43" s="34" t="inlineStr">
        <is>
          <t>Immediate or 3-6mo</t>
        </is>
      </c>
    </row>
    <row r="44">
      <c r="A44" s="33" t="inlineStr">
        <is>
          <t>D7110</t>
        </is>
      </c>
      <c r="B44" s="33" t="inlineStr">
        <is>
          <t>D5130</t>
        </is>
      </c>
      <c r="C44" s="33" t="inlineStr">
        <is>
          <t>Immediate denture</t>
        </is>
      </c>
      <c r="D44" s="33" t="inlineStr">
        <is>
          <t>Same day</t>
        </is>
      </c>
    </row>
    <row r="45">
      <c r="A45" s="34" t="inlineStr">
        <is>
          <t>D7110</t>
        </is>
      </c>
      <c r="B45" s="34" t="inlineStr">
        <is>
          <t>D5110</t>
        </is>
      </c>
      <c r="C45" s="34" t="inlineStr">
        <is>
          <t>Complete denture</t>
        </is>
      </c>
      <c r="D45" s="34" t="inlineStr">
        <is>
          <t>3-6mo</t>
        </is>
      </c>
    </row>
    <row r="46">
      <c r="A46" s="33" t="inlineStr">
        <is>
          <t>D7110</t>
        </is>
      </c>
      <c r="B46" s="33" t="inlineStr">
        <is>
          <t>D5213</t>
        </is>
      </c>
      <c r="C46" s="33" t="inlineStr">
        <is>
          <t>Partial denture</t>
        </is>
      </c>
      <c r="D46" s="33" t="inlineStr">
        <is>
          <t>6-8wks</t>
        </is>
      </c>
    </row>
    <row r="47">
      <c r="A47" s="34" t="inlineStr">
        <is>
          <t>D7140</t>
        </is>
      </c>
      <c r="B47" s="34" t="inlineStr">
        <is>
          <t>D6010</t>
        </is>
      </c>
      <c r="C47" s="34" t="inlineStr">
        <is>
          <t>Implant placement</t>
        </is>
      </c>
      <c r="D47" s="34" t="inlineStr">
        <is>
          <t>Immediate or 3-6mo</t>
        </is>
      </c>
    </row>
    <row r="48">
      <c r="A48" s="33" t="inlineStr">
        <is>
          <t>D7140</t>
        </is>
      </c>
      <c r="B48" s="33" t="inlineStr">
        <is>
          <t>D5110</t>
        </is>
      </c>
      <c r="C48" s="33" t="inlineStr">
        <is>
          <t>Complete denture</t>
        </is>
      </c>
      <c r="D48" s="33" t="inlineStr">
        <is>
          <t>After healing</t>
        </is>
      </c>
    </row>
    <row r="49">
      <c r="A49" s="34" t="inlineStr">
        <is>
          <t>D7140</t>
        </is>
      </c>
      <c r="B49" s="34" t="inlineStr">
        <is>
          <t>D5213</t>
        </is>
      </c>
      <c r="C49" s="34" t="inlineStr">
        <is>
          <t>Partial denture</t>
        </is>
      </c>
      <c r="D49" s="34" t="inlineStr">
        <is>
          <t>After healing</t>
        </is>
      </c>
    </row>
    <row r="50">
      <c r="A50" s="33" t="inlineStr">
        <is>
          <t>D7210</t>
        </is>
      </c>
      <c r="B50" s="33" t="inlineStr">
        <is>
          <t>D6010</t>
        </is>
      </c>
      <c r="C50" s="33" t="inlineStr">
        <is>
          <t>Implant placement</t>
        </is>
      </c>
      <c r="D50" s="33" t="inlineStr">
        <is>
          <t>3-6mo after</t>
        </is>
      </c>
    </row>
    <row r="51">
      <c r="A51" s="34" t="inlineStr">
        <is>
          <t>D7210</t>
        </is>
      </c>
      <c r="B51" s="34" t="inlineStr">
        <is>
          <t>D5213</t>
        </is>
      </c>
      <c r="C51" s="34" t="inlineStr">
        <is>
          <t>Partial denture</t>
        </is>
      </c>
      <c r="D51" s="34" t="inlineStr">
        <is>
          <t>After healing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a6c7d"/>
    <outlinePr summaryBelow="1" summaryRight="1"/>
    <pageSetUpPr/>
  </sheetPr>
  <dimension ref="A1:B110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38" t="inlineStr">
        <is>
          <t>Code</t>
        </is>
      </c>
      <c r="B1" s="38" t="inlineStr">
        <is>
          <t>Guideline</t>
        </is>
      </c>
    </row>
    <row r="2">
      <c r="A2" s="33" t="inlineStr">
        <is>
          <t>D0120</t>
        </is>
      </c>
      <c r="B2" s="33" t="inlineStr">
        <is>
          <t>1. For established patients (seen within 36mo)</t>
        </is>
      </c>
    </row>
    <row r="3">
      <c r="A3" s="34" t="inlineStr">
        <is>
          <t>D0120</t>
        </is>
      </c>
      <c r="B3" s="34" t="inlineStr">
        <is>
          <t>2. Covered 2x/year</t>
        </is>
      </c>
    </row>
    <row r="4">
      <c r="A4" s="33" t="inlineStr">
        <is>
          <t>D0120</t>
        </is>
      </c>
      <c r="B4" s="33" t="inlineStr">
        <is>
          <t>3. Cannot bill with D0150 same day</t>
        </is>
      </c>
    </row>
    <row r="5">
      <c r="A5" s="34" t="inlineStr">
        <is>
          <t>D0150</t>
        </is>
      </c>
      <c r="B5" s="34" t="inlineStr">
        <is>
          <t>1. For new patients or not seen 36+mo</t>
        </is>
      </c>
    </row>
    <row r="6">
      <c r="A6" s="33" t="inlineStr">
        <is>
          <t>D0150</t>
        </is>
      </c>
      <c r="B6" s="33" t="inlineStr">
        <is>
          <t>2. Should have full mouth X-rays</t>
        </is>
      </c>
    </row>
    <row r="7">
      <c r="A7" s="34" t="inlineStr">
        <is>
          <t>D0150</t>
        </is>
      </c>
      <c r="B7" s="34" t="inlineStr">
        <is>
          <t>3. Covered 1x/3-5yr</t>
        </is>
      </c>
    </row>
    <row r="8">
      <c r="A8" s="33" t="inlineStr">
        <is>
          <t>D0180</t>
        </is>
      </c>
      <c r="B8" s="33" t="inlineStr">
        <is>
          <t>1. Required BEFORE SRP can be billed</t>
        </is>
      </c>
    </row>
    <row r="9">
      <c r="A9" s="34" t="inlineStr">
        <is>
          <t>D0180</t>
        </is>
      </c>
      <c r="B9" s="34" t="inlineStr">
        <is>
          <t>2. Includes perio charting and pocket depths</t>
        </is>
      </c>
    </row>
    <row r="10">
      <c r="A10" s="33" t="inlineStr">
        <is>
          <t>D0180</t>
        </is>
      </c>
      <c r="B10" s="33" t="inlineStr">
        <is>
          <t>3. Typically covered 1x/yr or 1x/2yr</t>
        </is>
      </c>
    </row>
    <row r="11">
      <c r="A11" s="34" t="inlineStr">
        <is>
          <t>D0210</t>
        </is>
      </c>
      <c r="B11" s="34" t="inlineStr">
        <is>
          <t>1. 14-20 intraoral films</t>
        </is>
      </c>
    </row>
    <row r="12">
      <c r="A12" s="33" t="inlineStr">
        <is>
          <t>D0210</t>
        </is>
      </c>
      <c r="B12" s="33" t="inlineStr">
        <is>
          <t>2. Covered 1x/3-5yr</t>
        </is>
      </c>
    </row>
    <row r="13">
      <c r="A13" s="34" t="inlineStr">
        <is>
          <t>D0210</t>
        </is>
      </c>
      <c r="B13" s="34" t="inlineStr">
        <is>
          <t>3. Cannot bill with D0330 same day</t>
        </is>
      </c>
    </row>
    <row r="14">
      <c r="A14" s="33" t="inlineStr">
        <is>
          <t>D0330</t>
        </is>
      </c>
      <c r="B14" s="33" t="inlineStr">
        <is>
          <t>1. Extraoral full-jaw image</t>
        </is>
      </c>
    </row>
    <row r="15">
      <c r="A15" s="34" t="inlineStr">
        <is>
          <t>D0330</t>
        </is>
      </c>
      <c r="B15" s="34" t="inlineStr">
        <is>
          <t>2. Cannot bill with D0210 same day</t>
        </is>
      </c>
    </row>
    <row r="16">
      <c r="A16" s="33" t="inlineStr">
        <is>
          <t>D0330</t>
        </is>
      </c>
      <c r="B16" s="33" t="inlineStr">
        <is>
          <t>3. Covered 1x/3-5yr</t>
        </is>
      </c>
    </row>
    <row r="17">
      <c r="A17" s="34" t="inlineStr">
        <is>
          <t>D1110</t>
        </is>
      </c>
      <c r="B17" s="34" t="inlineStr">
        <is>
          <t>1. For patients WITHOUT periodontal disease</t>
        </is>
      </c>
    </row>
    <row r="18">
      <c r="A18" s="33" t="inlineStr">
        <is>
          <t>D1110</t>
        </is>
      </c>
      <c r="B18" s="33" t="inlineStr">
        <is>
          <t>2. Covered 2x/year by insurance</t>
        </is>
      </c>
    </row>
    <row r="19">
      <c r="A19" s="34" t="inlineStr">
        <is>
          <t>D1110</t>
        </is>
      </c>
      <c r="B19" s="34" t="inlineStr">
        <is>
          <t>3. Cannot bill with periodontal procedures same day</t>
        </is>
      </c>
    </row>
    <row r="20">
      <c r="A20" s="33" t="inlineStr">
        <is>
          <t>D1110</t>
        </is>
      </c>
      <c r="B20" s="33" t="inlineStr">
        <is>
          <t>4. If patient has perio history, switch to D4910</t>
        </is>
      </c>
    </row>
    <row r="21">
      <c r="A21" s="34" t="inlineStr">
        <is>
          <t>D2391</t>
        </is>
      </c>
      <c r="B21" s="34" t="inlineStr">
        <is>
          <t>1. Single-surface posterior composite</t>
        </is>
      </c>
    </row>
    <row r="22">
      <c r="A22" s="33" t="inlineStr">
        <is>
          <t>D2391</t>
        </is>
      </c>
      <c r="B22" s="33" t="inlineStr">
        <is>
          <t>2. Cannot extract same tooth</t>
        </is>
      </c>
    </row>
    <row r="23">
      <c r="A23" s="34" t="inlineStr">
        <is>
          <t>D2391</t>
        </is>
      </c>
      <c r="B23" s="34" t="inlineStr">
        <is>
          <t>3. Document surfaces</t>
        </is>
      </c>
    </row>
    <row r="24">
      <c r="A24" s="33" t="inlineStr">
        <is>
          <t>D2392</t>
        </is>
      </c>
      <c r="B24" s="33" t="inlineStr">
        <is>
          <t>1. Two-surface composite</t>
        </is>
      </c>
    </row>
    <row r="25">
      <c r="A25" s="34" t="inlineStr">
        <is>
          <t>D2392</t>
        </is>
      </c>
      <c r="B25" s="34" t="inlineStr">
        <is>
          <t>2. If &gt;3 surfaces, consider crown</t>
        </is>
      </c>
    </row>
    <row r="26">
      <c r="A26" s="33" t="inlineStr">
        <is>
          <t>D2393</t>
        </is>
      </c>
      <c r="B26" s="33" t="inlineStr">
        <is>
          <t>1. Large restoration - tooth may be weakened</t>
        </is>
      </c>
    </row>
    <row r="27">
      <c r="A27" s="34" t="inlineStr">
        <is>
          <t>D2393</t>
        </is>
      </c>
      <c r="B27" s="34" t="inlineStr">
        <is>
          <t>2. Consider crown if compromised</t>
        </is>
      </c>
    </row>
    <row r="28">
      <c r="A28" s="33" t="inlineStr">
        <is>
          <t>D2394</t>
        </is>
      </c>
      <c r="B28" s="33" t="inlineStr">
        <is>
          <t>1. 4+ surface filling = significant damage</t>
        </is>
      </c>
    </row>
    <row r="29">
      <c r="A29" s="34" t="inlineStr">
        <is>
          <t>D2394</t>
        </is>
      </c>
      <c r="B29" s="34" t="inlineStr">
        <is>
          <t>2. Crown may be more appropriate</t>
        </is>
      </c>
    </row>
    <row r="30">
      <c r="A30" s="33" t="inlineStr">
        <is>
          <t>D2740</t>
        </is>
      </c>
      <c r="B30" s="33" t="inlineStr">
        <is>
          <t>1. Crown + buildup when tooth structure insufficient</t>
        </is>
      </c>
    </row>
    <row r="31">
      <c r="A31" s="34" t="inlineStr">
        <is>
          <t>D2740</t>
        </is>
      </c>
      <c r="B31" s="34" t="inlineStr">
        <is>
          <t>2. Cannot bill two crowns same tooth</t>
        </is>
      </c>
    </row>
    <row r="32">
      <c r="A32" s="33" t="inlineStr">
        <is>
          <t>D2740</t>
        </is>
      </c>
      <c r="B32" s="33" t="inlineStr">
        <is>
          <t>3. Insurance: 1 crown per 5 years per tooth</t>
        </is>
      </c>
    </row>
    <row r="33">
      <c r="A33" s="34" t="inlineStr">
        <is>
          <t>D2740</t>
        </is>
      </c>
      <c r="B33" s="34" t="inlineStr">
        <is>
          <t>4. Molar with root canal (D3330) needs crown</t>
        </is>
      </c>
    </row>
    <row r="34">
      <c r="A34" s="33" t="inlineStr">
        <is>
          <t>D2750</t>
        </is>
      </c>
      <c r="B34" s="33" t="inlineStr">
        <is>
          <t>1. PFM crown - stronger for posterior teeth</t>
        </is>
      </c>
    </row>
    <row r="35">
      <c r="A35" s="34" t="inlineStr">
        <is>
          <t>D2750</t>
        </is>
      </c>
      <c r="B35" s="34" t="inlineStr">
        <is>
          <t>2. 5-year frequency limit per tooth</t>
        </is>
      </c>
    </row>
    <row r="36">
      <c r="A36" s="33" t="inlineStr">
        <is>
          <t>D2750</t>
        </is>
      </c>
      <c r="B36" s="33" t="inlineStr">
        <is>
          <t>3. Document medical necessity if replacing</t>
        </is>
      </c>
    </row>
    <row r="37">
      <c r="A37" s="34" t="inlineStr">
        <is>
          <t>D2950</t>
        </is>
      </c>
      <c r="B37" s="34" t="inlineStr">
        <is>
          <t>1. DENIAL RISK: Buildup without crown → denied</t>
        </is>
      </c>
    </row>
    <row r="38">
      <c r="A38" s="33" t="inlineStr">
        <is>
          <t>D2950</t>
        </is>
      </c>
      <c r="B38" s="33" t="inlineStr">
        <is>
          <t>2. Must be followed by crown placement</t>
        </is>
      </c>
    </row>
    <row r="39">
      <c r="A39" s="34" t="inlineStr">
        <is>
          <t>D2950</t>
        </is>
      </c>
      <c r="B39" s="34" t="inlineStr">
        <is>
          <t>3. Buildup + crown typically same day</t>
        </is>
      </c>
    </row>
    <row r="40">
      <c r="A40" s="33" t="inlineStr">
        <is>
          <t>D2950</t>
        </is>
      </c>
      <c r="B40" s="33" t="inlineStr">
        <is>
          <t>4. Used when tooth lacks structure for crown</t>
        </is>
      </c>
    </row>
    <row r="41">
      <c r="A41" s="34" t="inlineStr">
        <is>
          <t>D2952</t>
        </is>
      </c>
      <c r="B41" s="34" t="inlineStr">
        <is>
          <t>1. Used when significant tooth structure lost after root canal</t>
        </is>
      </c>
    </row>
    <row r="42">
      <c r="A42" s="33" t="inlineStr">
        <is>
          <t>D2952</t>
        </is>
      </c>
      <c r="B42" s="33" t="inlineStr">
        <is>
          <t>2. Requires completed root canal</t>
        </is>
      </c>
    </row>
    <row r="43">
      <c r="A43" s="34" t="inlineStr">
        <is>
          <t>D2952</t>
        </is>
      </c>
      <c r="B43" s="34" t="inlineStr">
        <is>
          <t>3. Must be followed by crown</t>
        </is>
      </c>
    </row>
    <row r="44">
      <c r="A44" s="33" t="inlineStr">
        <is>
          <t>D3310</t>
        </is>
      </c>
      <c r="B44" s="33" t="inlineStr">
        <is>
          <t>1. Anterior may not need crown if intact</t>
        </is>
      </c>
    </row>
    <row r="45">
      <c r="A45" s="34" t="inlineStr">
        <is>
          <t>D3310</t>
        </is>
      </c>
      <c r="B45" s="34" t="inlineStr">
        <is>
          <t>2. Cannot extract same tooth</t>
        </is>
      </c>
    </row>
    <row r="46">
      <c r="A46" s="33" t="inlineStr">
        <is>
          <t>D3310</t>
        </is>
      </c>
      <c r="B46" s="33" t="inlineStr">
        <is>
          <t>3. Post-op radiograph required</t>
        </is>
      </c>
    </row>
    <row r="47">
      <c r="A47" s="34" t="inlineStr">
        <is>
          <t>D3320</t>
        </is>
      </c>
      <c r="B47" s="34" t="inlineStr">
        <is>
          <t>1. Bicuspid usually needs crown after root canal</t>
        </is>
      </c>
    </row>
    <row r="48">
      <c r="A48" s="33" t="inlineStr">
        <is>
          <t>D3320</t>
        </is>
      </c>
      <c r="B48" s="33" t="inlineStr">
        <is>
          <t>2. Cannot extract same tooth</t>
        </is>
      </c>
    </row>
    <row r="49">
      <c r="A49" s="34" t="inlineStr">
        <is>
          <t>D3320</t>
        </is>
      </c>
      <c r="B49" s="34" t="inlineStr">
        <is>
          <t>3. Post-op radiograph required</t>
        </is>
      </c>
    </row>
    <row r="50">
      <c r="A50" s="33" t="inlineStr">
        <is>
          <t>D3330</t>
        </is>
      </c>
      <c r="B50" s="33" t="inlineStr">
        <is>
          <t>1. Molar WITHOUT crown is high fracture risk</t>
        </is>
      </c>
    </row>
    <row r="51">
      <c r="A51" s="34" t="inlineStr">
        <is>
          <t>D3330</t>
        </is>
      </c>
      <c r="B51" s="34" t="inlineStr">
        <is>
          <t>2. Cannot extract and root canal same tooth</t>
        </is>
      </c>
    </row>
    <row r="52">
      <c r="A52" s="33" t="inlineStr">
        <is>
          <t>D3330</t>
        </is>
      </c>
      <c r="B52" s="33" t="inlineStr">
        <is>
          <t>3. May require 2-3 visits</t>
        </is>
      </c>
    </row>
    <row r="53">
      <c r="A53" s="34" t="inlineStr">
        <is>
          <t>D3330</t>
        </is>
      </c>
      <c r="B53" s="34" t="inlineStr">
        <is>
          <t>4. Post-op radiograph required</t>
        </is>
      </c>
    </row>
    <row r="54">
      <c r="A54" s="33" t="inlineStr">
        <is>
          <t>D3330</t>
        </is>
      </c>
      <c r="B54" s="33" t="inlineStr">
        <is>
          <t>5. Crown recommended within 1-2mo</t>
        </is>
      </c>
    </row>
    <row r="55">
      <c r="A55" s="34" t="inlineStr">
        <is>
          <t>D4341</t>
        </is>
      </c>
      <c r="B55" s="34" t="inlineStr">
        <is>
          <t>1. REQUIRES documented perio disease (pockets &gt;4mm) with D0180</t>
        </is>
      </c>
    </row>
    <row r="56">
      <c r="A56" s="33" t="inlineStr">
        <is>
          <t>D4341</t>
        </is>
      </c>
      <c r="B56" s="33" t="inlineStr">
        <is>
          <t>2. Cannot bill with prophylaxis same day</t>
        </is>
      </c>
    </row>
    <row r="57">
      <c r="A57" s="34" t="inlineStr">
        <is>
          <t>D4341</t>
        </is>
      </c>
      <c r="B57" s="34" t="inlineStr">
        <is>
          <t>3. Requires periodontal charting</t>
        </is>
      </c>
    </row>
    <row r="58">
      <c r="A58" s="33" t="inlineStr">
        <is>
          <t>D4341</t>
        </is>
      </c>
      <c r="B58" s="33" t="inlineStr">
        <is>
          <t>4. Follow-up D4910 every 3mo</t>
        </is>
      </c>
    </row>
    <row r="59">
      <c r="A59" s="34" t="inlineStr">
        <is>
          <t>D4342</t>
        </is>
      </c>
      <c r="B59" s="34" t="inlineStr">
        <is>
          <t>1. Limited SRP for localized defects</t>
        </is>
      </c>
    </row>
    <row r="60">
      <c r="A60" s="33" t="inlineStr">
        <is>
          <t>D4342</t>
        </is>
      </c>
      <c r="B60" s="33" t="inlineStr">
        <is>
          <t>2. Requires D0180 with documentation</t>
        </is>
      </c>
    </row>
    <row r="61">
      <c r="A61" s="34" t="inlineStr">
        <is>
          <t>D4342</t>
        </is>
      </c>
      <c r="B61" s="34" t="inlineStr">
        <is>
          <t>3. Follow-up maintenance required</t>
        </is>
      </c>
    </row>
    <row r="62">
      <c r="A62" s="33" t="inlineStr">
        <is>
          <t>D4910</t>
        </is>
      </c>
      <c r="B62" s="33" t="inlineStr">
        <is>
          <t>1. COMMON DENIAL: No SRP history. Needs D4341/D4342 first</t>
        </is>
      </c>
    </row>
    <row r="63">
      <c r="A63" s="34" t="inlineStr">
        <is>
          <t>D4910</t>
        </is>
      </c>
      <c r="B63" s="34" t="inlineStr">
        <is>
          <t>2. D4910 only for patients who completed active perio therapy</t>
        </is>
      </c>
    </row>
    <row r="64">
      <c r="A64" s="33" t="inlineStr">
        <is>
          <t>D4910</t>
        </is>
      </c>
      <c r="B64" s="33" t="inlineStr">
        <is>
          <t>3. If no SRP in 24mo, re-evaluate</t>
        </is>
      </c>
    </row>
    <row r="65">
      <c r="A65" s="34" t="inlineStr">
        <is>
          <t>D4910</t>
        </is>
      </c>
      <c r="B65" s="34" t="inlineStr">
        <is>
          <t>4. Cannot be billed as D1110</t>
        </is>
      </c>
    </row>
    <row r="66">
      <c r="A66" s="33" t="inlineStr">
        <is>
          <t>D5110</t>
        </is>
      </c>
      <c r="B66" s="33" t="inlineStr">
        <is>
          <t>1. Requires edentulous arch</t>
        </is>
      </c>
    </row>
    <row r="67">
      <c r="A67" s="34" t="inlineStr">
        <is>
          <t>D5110</t>
        </is>
      </c>
      <c r="B67" s="34" t="inlineStr">
        <is>
          <t>2. Teeth must be extracted first</t>
        </is>
      </c>
    </row>
    <row r="68">
      <c r="A68" s="33" t="inlineStr">
        <is>
          <t>D5110</t>
        </is>
      </c>
      <c r="B68" s="33" t="inlineStr">
        <is>
          <t>3. Multiple appointments needed</t>
        </is>
      </c>
    </row>
    <row r="69">
      <c r="A69" s="34" t="inlineStr">
        <is>
          <t>D5110</t>
        </is>
      </c>
      <c r="B69" s="34" t="inlineStr">
        <is>
          <t>4. Reline often needed at 6-12mo</t>
        </is>
      </c>
    </row>
    <row r="70">
      <c r="A70" s="33" t="inlineStr">
        <is>
          <t>D5120</t>
        </is>
      </c>
      <c r="B70" s="33" t="inlineStr">
        <is>
          <t>1. Lower denture has less retention than upper</t>
        </is>
      </c>
    </row>
    <row r="71">
      <c r="A71" s="34" t="inlineStr">
        <is>
          <t>D5120</t>
        </is>
      </c>
      <c r="B71" s="34" t="inlineStr">
        <is>
          <t>2. Use D5140 for immediate</t>
        </is>
      </c>
    </row>
    <row r="72">
      <c r="A72" s="33" t="inlineStr">
        <is>
          <t>D5130</t>
        </is>
      </c>
      <c r="B72" s="33" t="inlineStr">
        <is>
          <t>1. CRITICAL: Extractions must be same day</t>
        </is>
      </c>
    </row>
    <row r="73">
      <c r="A73" s="34" t="inlineStr">
        <is>
          <t>D5130</t>
        </is>
      </c>
      <c r="B73" s="34" t="inlineStr">
        <is>
          <t>2. Temporary - needs reline after healing</t>
        </is>
      </c>
    </row>
    <row r="74">
      <c r="A74" s="33" t="inlineStr">
        <is>
          <t>D5130</t>
        </is>
      </c>
      <c r="B74" s="33" t="inlineStr">
        <is>
          <t>3. Requires pre-extraction records</t>
        </is>
      </c>
    </row>
    <row r="75">
      <c r="A75" s="34" t="inlineStr">
        <is>
          <t>D5140</t>
        </is>
      </c>
      <c r="B75" s="34" t="inlineStr">
        <is>
          <t>1. Same as D5130 for upper</t>
        </is>
      </c>
    </row>
    <row r="76">
      <c r="A76" s="33" t="inlineStr">
        <is>
          <t>D5140</t>
        </is>
      </c>
      <c r="B76" s="33" t="inlineStr">
        <is>
          <t>2. Extractions must be same day</t>
        </is>
      </c>
    </row>
    <row r="77">
      <c r="A77" s="34" t="inlineStr">
        <is>
          <t>D5140</t>
        </is>
      </c>
      <c r="B77" s="34" t="inlineStr">
        <is>
          <t>3. Will need reline</t>
        </is>
      </c>
    </row>
    <row r="78">
      <c r="A78" s="33" t="inlineStr">
        <is>
          <t>D5213</t>
        </is>
      </c>
      <c r="B78" s="33" t="inlineStr">
        <is>
          <t>1. Requires some natural teeth</t>
        </is>
      </c>
    </row>
    <row r="79">
      <c r="A79" s="34" t="inlineStr">
        <is>
          <t>D5213</t>
        </is>
      </c>
      <c r="B79" s="34" t="inlineStr">
        <is>
          <t>2. Abutment teeth must be evaluated</t>
        </is>
      </c>
    </row>
    <row r="80">
      <c r="A80" s="33" t="inlineStr">
        <is>
          <t>D5213</t>
        </is>
      </c>
      <c r="B80" s="33" t="inlineStr">
        <is>
          <t>3. Cast metal RPD is standard</t>
        </is>
      </c>
    </row>
    <row r="81">
      <c r="A81" s="34" t="inlineStr">
        <is>
          <t>D5214</t>
        </is>
      </c>
      <c r="B81" s="34" t="inlineStr">
        <is>
          <t>1. Requires some natural teeth</t>
        </is>
      </c>
    </row>
    <row r="82">
      <c r="A82" s="33" t="inlineStr">
        <is>
          <t>D5214</t>
        </is>
      </c>
      <c r="B82" s="33" t="inlineStr">
        <is>
          <t>2. Lower partial may need clasps</t>
        </is>
      </c>
    </row>
    <row r="83">
      <c r="A83" s="34" t="inlineStr">
        <is>
          <t>D6010</t>
        </is>
      </c>
      <c r="B83" s="34" t="inlineStr">
        <is>
          <t>1. Requires adequate bone density (CT/radiograph)</t>
        </is>
      </c>
    </row>
    <row r="84">
      <c r="A84" s="33" t="inlineStr">
        <is>
          <t>D6010</t>
        </is>
      </c>
      <c r="B84" s="33" t="inlineStr">
        <is>
          <t>2. Must document site preparation</t>
        </is>
      </c>
    </row>
    <row r="85">
      <c r="A85" s="34" t="inlineStr">
        <is>
          <t>D6010</t>
        </is>
      </c>
      <c r="B85" s="34" t="inlineStr">
        <is>
          <t>3. Cannot crown until osseointegration (3-6mo)</t>
        </is>
      </c>
    </row>
    <row r="86">
      <c r="A86" s="33" t="inlineStr">
        <is>
          <t>D6010</t>
        </is>
      </c>
      <c r="B86" s="33" t="inlineStr">
        <is>
          <t>4. Immediate implant possible after extraction if no infection</t>
        </is>
      </c>
    </row>
    <row r="87">
      <c r="A87" s="34" t="inlineStr">
        <is>
          <t>D6056</t>
        </is>
      </c>
      <c r="B87" s="34" t="inlineStr">
        <is>
          <t>1. REQUIRES healed implant (3-6mo)</t>
        </is>
      </c>
    </row>
    <row r="88">
      <c r="A88" s="33" t="inlineStr">
        <is>
          <t>D6056</t>
        </is>
      </c>
      <c r="B88" s="33" t="inlineStr">
        <is>
          <t>2. Cannot bill without D6010 history</t>
        </is>
      </c>
    </row>
    <row r="89">
      <c r="A89" s="34" t="inlineStr">
        <is>
          <t>D6056</t>
        </is>
      </c>
      <c r="B89" s="34" t="inlineStr">
        <is>
          <t>3. Abutment before or with crown</t>
        </is>
      </c>
    </row>
    <row r="90">
      <c r="A90" s="33" t="inlineStr">
        <is>
          <t>D6056</t>
        </is>
      </c>
      <c r="B90" s="33" t="inlineStr">
        <is>
          <t>4. Cannot bill crown without abutment</t>
        </is>
      </c>
    </row>
    <row r="91">
      <c r="A91" s="34" t="inlineStr">
        <is>
          <t>D6058</t>
        </is>
      </c>
      <c r="B91" s="34" t="inlineStr">
        <is>
          <t>1. DENIED IF: No D6010 in history</t>
        </is>
      </c>
    </row>
    <row r="92">
      <c r="A92" s="33" t="inlineStr">
        <is>
          <t>D6058</t>
        </is>
      </c>
      <c r="B92" s="33" t="inlineStr">
        <is>
          <t>2. Implant must be integrated (3-6mo)</t>
        </is>
      </c>
    </row>
    <row r="93">
      <c r="A93" s="34" t="inlineStr">
        <is>
          <t>D6058</t>
        </is>
      </c>
      <c r="B93" s="34" t="inlineStr">
        <is>
          <t>3. Radiographic verification required</t>
        </is>
      </c>
    </row>
    <row r="94">
      <c r="A94" s="33" t="inlineStr">
        <is>
          <t>D6058</t>
        </is>
      </c>
      <c r="B94" s="33" t="inlineStr">
        <is>
          <t>4. Abutment must be placed before crown</t>
        </is>
      </c>
    </row>
    <row r="95">
      <c r="A95" s="34" t="inlineStr">
        <is>
          <t>D6080</t>
        </is>
      </c>
      <c r="B95" s="34" t="inlineStr">
        <is>
          <t>1. For patients with implants - NOT prophylaxis</t>
        </is>
      </c>
    </row>
    <row r="96">
      <c r="A96" s="33" t="inlineStr">
        <is>
          <t>D6080</t>
        </is>
      </c>
      <c r="B96" s="33" t="inlineStr">
        <is>
          <t>2. Cannot replace with D1110 or D4910</t>
        </is>
      </c>
    </row>
    <row r="97">
      <c r="A97" s="34" t="inlineStr">
        <is>
          <t>D6080</t>
        </is>
      </c>
      <c r="B97" s="34" t="inlineStr">
        <is>
          <t>3. Requires implant in history</t>
        </is>
      </c>
    </row>
    <row r="98">
      <c r="A98" s="33" t="inlineStr">
        <is>
          <t>D6080</t>
        </is>
      </c>
      <c r="B98" s="33" t="inlineStr">
        <is>
          <t>4. Covered 2x/year</t>
        </is>
      </c>
    </row>
    <row r="99">
      <c r="A99" s="34" t="inlineStr">
        <is>
          <t>D7110</t>
        </is>
      </c>
      <c r="B99" s="34" t="inlineStr">
        <is>
          <t>1. Document reason for extraction clearly</t>
        </is>
      </c>
    </row>
    <row r="100">
      <c r="A100" s="33" t="inlineStr">
        <is>
          <t>D7110</t>
        </is>
      </c>
      <c r="B100" s="33" t="inlineStr">
        <is>
          <t>2. For surgical extraction, document bone removal</t>
        </is>
      </c>
    </row>
    <row r="101">
      <c r="A101" s="34" t="inlineStr">
        <is>
          <t>D7110</t>
        </is>
      </c>
      <c r="B101" s="34" t="inlineStr">
        <is>
          <t>3. Cannot restore or crown the same tooth being extracted</t>
        </is>
      </c>
    </row>
    <row r="102">
      <c r="A102" s="33" t="inlineStr">
        <is>
          <t>D7110</t>
        </is>
      </c>
      <c r="B102" s="33" t="inlineStr">
        <is>
          <t>4. Healing 3-6mo before implant, 6-8wk for partial</t>
        </is>
      </c>
    </row>
    <row r="103">
      <c r="A103" s="34" t="inlineStr">
        <is>
          <t>D7140</t>
        </is>
      </c>
      <c r="B103" s="34" t="inlineStr">
        <is>
          <t>1. Cannot restore tooth being extracted</t>
        </is>
      </c>
    </row>
    <row r="104">
      <c r="A104" s="33" t="inlineStr">
        <is>
          <t>D7140</t>
        </is>
      </c>
      <c r="B104" s="33" t="inlineStr">
        <is>
          <t>2. Healing 3-6mo before implant</t>
        </is>
      </c>
    </row>
    <row r="105">
      <c r="A105" s="34" t="inlineStr">
        <is>
          <t>D7140</t>
        </is>
      </c>
      <c r="B105" s="34" t="inlineStr">
        <is>
          <t>3. Document reason for extraction</t>
        </is>
      </c>
    </row>
    <row r="106">
      <c r="A106" s="33" t="inlineStr">
        <is>
          <t>D7140</t>
        </is>
      </c>
      <c r="B106" s="33" t="inlineStr">
        <is>
          <t>4. Cannot bill restorative on extracted tooth</t>
        </is>
      </c>
    </row>
    <row r="107">
      <c r="A107" s="34" t="inlineStr">
        <is>
          <t>D7210</t>
        </is>
      </c>
      <c r="B107" s="34" t="inlineStr">
        <is>
          <t>1. Requires documentation of surgical approach</t>
        </is>
      </c>
    </row>
    <row r="108">
      <c r="A108" s="33" t="inlineStr">
        <is>
          <t>D7210</t>
        </is>
      </c>
      <c r="B108" s="33" t="inlineStr">
        <is>
          <t>2. More complex than simple extraction</t>
        </is>
      </c>
    </row>
    <row r="109">
      <c r="A109" s="34" t="inlineStr">
        <is>
          <t>D7210</t>
        </is>
      </c>
      <c r="B109" s="34" t="inlineStr">
        <is>
          <t>3. Healing may be longer than simple extraction</t>
        </is>
      </c>
    </row>
    <row r="110">
      <c r="A110" s="33" t="inlineStr">
        <is>
          <t>D7210</t>
        </is>
      </c>
      <c r="B110" s="33" t="inlineStr">
        <is>
          <t>4. Cannot place restoration on extracted tooth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33c24"/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50" customWidth="1" min="3" max="3"/>
    <col width="50" customWidth="1" min="4" max="4"/>
  </cols>
  <sheetData>
    <row r="1">
      <c r="A1" s="36" t="inlineStr">
        <is>
          <t>Code</t>
        </is>
      </c>
      <c r="B1" s="36" t="inlineStr">
        <is>
          <t>Scenario</t>
        </is>
      </c>
      <c r="C1" s="36" t="inlineStr">
        <is>
          <t>Denial Reason</t>
        </is>
      </c>
      <c r="D1" s="36" t="inlineStr">
        <is>
          <t>Suggested Action</t>
        </is>
      </c>
    </row>
    <row r="2">
      <c r="A2" s="33" t="inlineStr">
        <is>
          <t>D7110</t>
        </is>
      </c>
      <c r="B2" s="33" t="inlineStr">
        <is>
          <t>Extraction of crowned tooth</t>
        </is>
      </c>
      <c r="C2" s="33" t="inlineStr">
        <is>
          <t>Tooth with existing crown</t>
        </is>
      </c>
      <c r="D2" s="33" t="inlineStr">
        <is>
          <t>Document non-restorability. Consider endo</t>
        </is>
      </c>
    </row>
    <row r="3">
      <c r="A3" s="34" t="inlineStr">
        <is>
          <t>D7140</t>
        </is>
      </c>
      <c r="B3" s="34" t="inlineStr">
        <is>
          <t>Extraction of restored tooth</t>
        </is>
      </c>
      <c r="C3" s="34" t="inlineStr">
        <is>
          <t>No documentation of non-restorability</t>
        </is>
      </c>
      <c r="D3" s="34" t="inlineStr">
        <is>
          <t>Document with radiographs</t>
        </is>
      </c>
    </row>
    <row r="4">
      <c r="A4" s="33" t="inlineStr">
        <is>
          <t>D7140</t>
        </is>
      </c>
      <c r="B4" s="33" t="inlineStr">
        <is>
          <t>Extraction + restoration same tooth</t>
        </is>
      </c>
      <c r="C4" s="33" t="inlineStr">
        <is>
          <t>Cannot extract and restore</t>
        </is>
      </c>
      <c r="D4" s="33" t="inlineStr">
        <is>
          <t>Choose one path</t>
        </is>
      </c>
    </row>
    <row r="5">
      <c r="A5" s="34" t="inlineStr">
        <is>
          <t>D7140</t>
        </is>
      </c>
      <c r="B5" s="34" t="inlineStr">
        <is>
          <t>Simple code for surgical case</t>
        </is>
      </c>
      <c r="C5" s="34" t="inlineStr">
        <is>
          <t>Needed flap/bone removal</t>
        </is>
      </c>
      <c r="D5" s="34" t="inlineStr">
        <is>
          <t>Rebill as D7210</t>
        </is>
      </c>
    </row>
    <row r="6">
      <c r="A6" s="33" t="inlineStr">
        <is>
          <t>D1110</t>
        </is>
      </c>
      <c r="B6" s="33" t="inlineStr">
        <is>
          <t>Prophy for perio maintenance patient</t>
        </is>
      </c>
      <c r="C6" s="33" t="inlineStr">
        <is>
          <t>Patient has perio history</t>
        </is>
      </c>
      <c r="D6" s="33" t="inlineStr">
        <is>
          <t>Switch to D4910</t>
        </is>
      </c>
    </row>
    <row r="7">
      <c r="A7" s="34" t="inlineStr">
        <is>
          <t>D1110</t>
        </is>
      </c>
      <c r="B7" s="34" t="inlineStr">
        <is>
          <t>Prophy after active perio treatment</t>
        </is>
      </c>
      <c r="C7" s="34" t="inlineStr">
        <is>
          <t>Needs D4910, not prophy</t>
        </is>
      </c>
      <c r="D7" s="34" t="inlineStr">
        <is>
          <t>Use D4910</t>
        </is>
      </c>
    </row>
    <row r="8">
      <c r="A8" s="33" t="inlineStr">
        <is>
          <t>D1110</t>
        </is>
      </c>
      <c r="B8" s="33" t="inlineStr">
        <is>
          <t>Prophy + SRP same day</t>
        </is>
      </c>
      <c r="C8" s="33" t="inlineStr">
        <is>
          <t>Cannot bill both</t>
        </is>
      </c>
      <c r="D8" s="33" t="inlineStr">
        <is>
          <t>Remove D1110, bill D4341</t>
        </is>
      </c>
    </row>
    <row r="9">
      <c r="A9" s="34" t="inlineStr">
        <is>
          <t>D4910</t>
        </is>
      </c>
      <c r="B9" s="34" t="inlineStr">
        <is>
          <t>COMMON: No SRP history</t>
        </is>
      </c>
      <c r="C9" s="34" t="inlineStr">
        <is>
          <t>D4910 requires prior SRP</t>
        </is>
      </c>
      <c r="D9" s="34" t="inlineStr">
        <is>
          <t>Do D0180 + D4341 first</t>
        </is>
      </c>
    </row>
    <row r="10">
      <c r="A10" s="33" t="inlineStr">
        <is>
          <t>D4910</t>
        </is>
      </c>
      <c r="B10" s="33" t="inlineStr">
        <is>
          <t>No D0180 on record</t>
        </is>
      </c>
      <c r="C10" s="33" t="inlineStr">
        <is>
          <t>Perio diagnosis needs eval</t>
        </is>
      </c>
      <c r="D10" s="33" t="inlineStr">
        <is>
          <t>Complete D0180 first</t>
        </is>
      </c>
    </row>
    <row r="11">
      <c r="A11" s="34" t="inlineStr">
        <is>
          <t>D4910</t>
        </is>
      </c>
      <c r="B11" s="34" t="inlineStr">
        <is>
          <t>Billed as D1110</t>
        </is>
      </c>
      <c r="C11" s="34" t="inlineStr">
        <is>
          <t>Correct code is D4910</t>
        </is>
      </c>
      <c r="D11" s="34" t="inlineStr">
        <is>
          <t>Rebill as D4910</t>
        </is>
      </c>
    </row>
    <row r="12">
      <c r="A12" s="33" t="inlineStr">
        <is>
          <t>D4341</t>
        </is>
      </c>
      <c r="B12" s="33" t="inlineStr">
        <is>
          <t>No D0180 in history</t>
        </is>
      </c>
      <c r="C12" s="33" t="inlineStr">
        <is>
          <t>SRP requires perio evaluation</t>
        </is>
      </c>
      <c r="D12" s="33" t="inlineStr">
        <is>
          <t>Complete D0180 first</t>
        </is>
      </c>
    </row>
    <row r="13">
      <c r="A13" s="34" t="inlineStr">
        <is>
          <t>D4341</t>
        </is>
      </c>
      <c r="B13" s="34" t="inlineStr">
        <is>
          <t>SRP + prophy same day</t>
        </is>
      </c>
      <c r="C13" s="34" t="inlineStr">
        <is>
          <t>Cannot bill both</t>
        </is>
      </c>
      <c r="D13" s="34" t="inlineStr">
        <is>
          <t>Remove D1110</t>
        </is>
      </c>
    </row>
    <row r="14">
      <c r="A14" s="33" t="inlineStr">
        <is>
          <t>D4342</t>
        </is>
      </c>
      <c r="B14" s="33" t="inlineStr">
        <is>
          <t>Limited SRP when full mouth needed</t>
        </is>
      </c>
      <c r="C14" s="33" t="inlineStr">
        <is>
          <t>Use D4341 for 4+/quad</t>
        </is>
      </c>
      <c r="D14" s="33" t="inlineStr">
        <is>
          <t>Switch to D4341</t>
        </is>
      </c>
    </row>
    <row r="15">
      <c r="A15" s="34" t="inlineStr">
        <is>
          <t>D2740</t>
        </is>
      </c>
      <c r="B15" s="34" t="inlineStr">
        <is>
          <t>Crown within 5yr same tooth</t>
        </is>
      </c>
      <c r="C15" s="34" t="inlineStr">
        <is>
          <t>Insurance frequency limit</t>
        </is>
      </c>
      <c r="D15" s="34" t="inlineStr">
        <is>
          <t>Appeal with new condition docs</t>
        </is>
      </c>
    </row>
    <row r="16">
      <c r="A16" s="33" t="inlineStr">
        <is>
          <t>D2740</t>
        </is>
      </c>
      <c r="B16" s="33" t="inlineStr">
        <is>
          <t>Crown without buildup</t>
        </is>
      </c>
      <c r="C16" s="33" t="inlineStr">
        <is>
          <t>Tooth needs core buildup</t>
        </is>
      </c>
      <c r="D16" s="33" t="inlineStr">
        <is>
          <t>Add D2950</t>
        </is>
      </c>
    </row>
    <row r="17">
      <c r="A17" s="34" t="inlineStr">
        <is>
          <t>D2740</t>
        </is>
      </c>
      <c r="B17" s="34" t="inlineStr">
        <is>
          <t>Crown + extraction same tooth</t>
        </is>
      </c>
      <c r="C17" s="34" t="inlineStr">
        <is>
          <t>Cannot crown and extract</t>
        </is>
      </c>
      <c r="D17" s="34" t="inlineStr">
        <is>
          <t>Remove one</t>
        </is>
      </c>
    </row>
    <row r="18">
      <c r="A18" s="33" t="inlineStr">
        <is>
          <t>D2950</t>
        </is>
      </c>
      <c r="B18" s="33" t="inlineStr">
        <is>
          <t>Buildup without crown</t>
        </is>
      </c>
      <c r="C18" s="33" t="inlineStr">
        <is>
          <t>Buildup requires crown</t>
        </is>
      </c>
      <c r="D18" s="33" t="inlineStr">
        <is>
          <t>Add D2740</t>
        </is>
      </c>
    </row>
    <row r="19">
      <c r="A19" s="34" t="inlineStr">
        <is>
          <t>D2950</t>
        </is>
      </c>
      <c r="B19" s="34" t="inlineStr">
        <is>
          <t>Buildup on extracted tooth</t>
        </is>
      </c>
      <c r="C19" s="34" t="inlineStr">
        <is>
          <t>Cannot buildup extracted</t>
        </is>
      </c>
      <c r="D19" s="34" t="inlineStr">
        <is>
          <t>Remove buildup</t>
        </is>
      </c>
    </row>
    <row r="20">
      <c r="A20" s="33" t="inlineStr">
        <is>
          <t>D6058</t>
        </is>
      </c>
      <c r="B20" s="33" t="inlineStr">
        <is>
          <t>COMMON: No D6010 in history</t>
        </is>
      </c>
      <c r="C20" s="33" t="inlineStr">
        <is>
          <t>Implant crown needs implant body</t>
        </is>
      </c>
      <c r="D20" s="33" t="inlineStr">
        <is>
          <t>Place D6010 first, wait 3-6mo</t>
        </is>
      </c>
    </row>
    <row r="21">
      <c r="A21" s="34" t="inlineStr">
        <is>
          <t>D6058</t>
        </is>
      </c>
      <c r="B21" s="34" t="inlineStr">
        <is>
          <t>No abutment (D6056)</t>
        </is>
      </c>
      <c r="C21" s="34" t="inlineStr">
        <is>
          <t>Abutment required before crown</t>
        </is>
      </c>
      <c r="D21" s="34" t="inlineStr">
        <is>
          <t>Add D6056</t>
        </is>
      </c>
    </row>
    <row r="22">
      <c r="A22" s="33" t="inlineStr">
        <is>
          <t>D6058</t>
        </is>
      </c>
      <c r="B22" s="33" t="inlineStr">
        <is>
          <t>Crown same day as implant</t>
        </is>
      </c>
      <c r="C22" s="33" t="inlineStr">
        <is>
          <t>Needs 3-6mo osseointegration</t>
        </is>
      </c>
      <c r="D22" s="33" t="inlineStr">
        <is>
          <t>Wait 3-6mo</t>
        </is>
      </c>
    </row>
    <row r="23">
      <c r="A23" s="34" t="inlineStr">
        <is>
          <t>D6056</t>
        </is>
      </c>
      <c r="B23" s="34" t="inlineStr">
        <is>
          <t>Abutment without D6010</t>
        </is>
      </c>
      <c r="C23" s="34" t="inlineStr">
        <is>
          <t>Needs existing implant</t>
        </is>
      </c>
      <c r="D23" s="34" t="inlineStr">
        <is>
          <t>Place D6010 first</t>
        </is>
      </c>
    </row>
    <row r="24">
      <c r="A24" s="33" t="inlineStr">
        <is>
          <t>D3330</t>
        </is>
      </c>
      <c r="B24" s="33" t="inlineStr">
        <is>
          <t>Molar root canal without crown</t>
        </is>
      </c>
      <c r="C24" s="33" t="inlineStr">
        <is>
          <t>High fracture risk</t>
        </is>
      </c>
      <c r="D24" s="33" t="inlineStr">
        <is>
          <t>Add D2740 to plan</t>
        </is>
      </c>
    </row>
    <row r="25">
      <c r="A25" s="34" t="inlineStr">
        <is>
          <t>D3310</t>
        </is>
      </c>
      <c r="B25" s="34" t="inlineStr">
        <is>
          <t>Root canal + extraction same tooth</t>
        </is>
      </c>
      <c r="C25" s="34" t="inlineStr">
        <is>
          <t>Cannot do both</t>
        </is>
      </c>
      <c r="D25" s="34" t="inlineStr">
        <is>
          <t>Choose one</t>
        </is>
      </c>
    </row>
    <row r="26">
      <c r="A26" s="33" t="inlineStr">
        <is>
          <t>D5110</t>
        </is>
      </c>
      <c r="B26" s="33" t="inlineStr">
        <is>
          <t>Complete denture with teeth present</t>
        </is>
      </c>
      <c r="C26" s="33" t="inlineStr">
        <is>
          <t>Need edentulous arch</t>
        </is>
      </c>
      <c r="D26" s="33" t="inlineStr">
        <is>
          <t>Extract remaining teeth</t>
        </is>
      </c>
    </row>
    <row r="27">
      <c r="A27" s="34" t="inlineStr">
        <is>
          <t>D5130</t>
        </is>
      </c>
      <c r="B27" s="34" t="inlineStr">
        <is>
          <t>Immediate denture no extractions</t>
        </is>
      </c>
      <c r="C27" s="34" t="inlineStr">
        <is>
          <t>Extractions required same day</t>
        </is>
      </c>
      <c r="D27" s="34" t="inlineStr">
        <is>
          <t>Add D7140 same day</t>
        </is>
      </c>
    </row>
    <row r="28">
      <c r="A28" s="33" t="inlineStr">
        <is>
          <t>D6080</t>
        </is>
      </c>
      <c r="B28" s="33" t="inlineStr">
        <is>
          <t>Implant maintenance, no implant</t>
        </is>
      </c>
      <c r="C28" s="33" t="inlineStr">
        <is>
          <t>Requires existing implant</t>
        </is>
      </c>
      <c r="D28" s="33" t="inlineStr">
        <is>
          <t>Verify implant. Use D1110 if none</t>
        </is>
      </c>
    </row>
    <row r="29">
      <c r="A29" s="34" t="inlineStr">
        <is>
          <t>D0150</t>
        </is>
      </c>
      <c r="B29" s="34" t="inlineStr">
        <is>
          <t>Two exams same day</t>
        </is>
      </c>
      <c r="C29" s="34" t="inlineStr">
        <is>
          <t>Cannot bill D0150+D0120</t>
        </is>
      </c>
      <c r="D29" s="34" t="inlineStr">
        <is>
          <t>Choose one</t>
        </is>
      </c>
    </row>
    <row r="30">
      <c r="A30" s="33" t="inlineStr">
        <is>
          <t>D0120</t>
        </is>
      </c>
      <c r="B30" s="33" t="inlineStr">
        <is>
          <t>Patient not seen &gt;36mo</t>
        </is>
      </c>
      <c r="C30" s="33" t="inlineStr">
        <is>
          <t>Use D0150 for new/long-absent</t>
        </is>
      </c>
      <c r="D30" s="33" t="inlineStr">
        <is>
          <t>Use D0150</t>
        </is>
      </c>
    </row>
    <row r="31">
      <c r="A31" s="34" t="inlineStr">
        <is>
          <t>*</t>
        </is>
      </c>
      <c r="B31" s="34" t="inlineStr">
        <is>
          <t>UHC: Frequency limit</t>
        </is>
      </c>
      <c r="C31" s="34" t="inlineStr">
        <is>
          <t>Plan limits procedure per period</t>
        </is>
      </c>
      <c r="D31" s="34" t="inlineStr">
        <is>
          <t>Check plan. Appeal with necessity</t>
        </is>
      </c>
    </row>
    <row r="32">
      <c r="A32" s="33" t="inlineStr">
        <is>
          <t>*</t>
        </is>
      </c>
      <c r="B32" s="33" t="inlineStr">
        <is>
          <t>UHC: Pre-auth not obtained</t>
        </is>
      </c>
      <c r="C32" s="33" t="inlineStr">
        <is>
          <t>Plan requires prior authorization</t>
        </is>
      </c>
      <c r="D32" s="33" t="inlineStr">
        <is>
          <t>Submit retro-auth or resubmit</t>
        </is>
      </c>
    </row>
    <row r="33">
      <c r="A33" s="34" t="inlineStr">
        <is>
          <t>*</t>
        </is>
      </c>
      <c r="B33" s="34" t="inlineStr">
        <is>
          <t>UHC: Alternative benefit</t>
        </is>
      </c>
      <c r="C33" s="34" t="inlineStr">
        <is>
          <t>Paid for less expensive alt</t>
        </is>
      </c>
      <c r="D33" s="34" t="inlineStr">
        <is>
          <t>Accept or appeal with necessity</t>
        </is>
      </c>
    </row>
    <row r="34">
      <c r="A34" s="33" t="inlineStr">
        <is>
          <t>*</t>
        </is>
      </c>
      <c r="B34" s="33" t="inlineStr">
        <is>
          <t>UHC: Missing tooth clause</t>
        </is>
      </c>
      <c r="C34" s="33" t="inlineStr">
        <is>
          <t>Tooth missing before coverage</t>
        </is>
      </c>
      <c r="D34" s="33" t="inlineStr">
        <is>
          <t>Verify effective date</t>
        </is>
      </c>
    </row>
    <row r="35">
      <c r="A35" s="34" t="inlineStr">
        <is>
          <t>*</t>
        </is>
      </c>
      <c r="B35" s="34" t="inlineStr">
        <is>
          <t>UHC: Benefit max exhausted</t>
        </is>
      </c>
      <c r="C35" s="34" t="inlineStr">
        <is>
          <t>Annual max reached</t>
        </is>
      </c>
      <c r="D35" s="34" t="inlineStr">
        <is>
          <t>Schedule for next period</t>
        </is>
      </c>
    </row>
    <row r="36">
      <c r="A36" s="33" t="inlineStr">
        <is>
          <t>*</t>
        </is>
      </c>
      <c r="B36" s="33" t="inlineStr">
        <is>
          <t>UHC: Waiting period</t>
        </is>
      </c>
      <c r="C36" s="33" t="inlineStr">
        <is>
          <t>Major procedure waiting period</t>
        </is>
      </c>
      <c r="D36" s="33" t="inlineStr">
        <is>
          <t>Schedule after waiting period</t>
        </is>
      </c>
    </row>
    <row r="37">
      <c r="A37" s="34" t="inlineStr">
        <is>
          <t>*</t>
        </is>
      </c>
      <c r="B37" s="34" t="inlineStr">
        <is>
          <t>UHC: Dependent age limit</t>
        </is>
      </c>
      <c r="C37" s="34" t="inlineStr">
        <is>
          <t>Dependent exceeded age</t>
        </is>
      </c>
      <c r="D37" s="34" t="inlineStr">
        <is>
          <t>Verify eligibility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4513"/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45" customWidth="1" min="4" max="4"/>
    <col width="25" customWidth="1" min="5" max="5"/>
  </cols>
  <sheetData>
    <row r="1">
      <c r="A1" s="39" t="inlineStr">
        <is>
          <t>Code</t>
        </is>
      </c>
      <c r="B1" s="39" t="inlineStr">
        <is>
          <t>Scenario</t>
        </is>
      </c>
      <c r="C1" s="39" t="inlineStr">
        <is>
          <t>Denial Reason</t>
        </is>
      </c>
      <c r="D1" s="39" t="inlineStr">
        <is>
          <t>Suggested Action</t>
        </is>
      </c>
      <c r="E1" s="39" t="inlineStr">
        <is>
          <t>Suggested Code</t>
        </is>
      </c>
    </row>
    <row r="2">
      <c r="A2" s="33" t="inlineStr">
        <is>
          <t>D7110</t>
        </is>
      </c>
      <c r="B2" s="33" t="inlineStr">
        <is>
          <t>Extraction of crowned tooth</t>
        </is>
      </c>
      <c r="C2" s="33" t="inlineStr">
        <is>
          <t>Tooth with existing crown</t>
        </is>
      </c>
      <c r="D2" s="33" t="inlineStr">
        <is>
          <t>Document non-restorability. Consider endo</t>
        </is>
      </c>
      <c r="E2" s="33" t="inlineStr">
        <is>
          <t>D3330</t>
        </is>
      </c>
    </row>
    <row r="3">
      <c r="A3" s="34" t="inlineStr">
        <is>
          <t>D7140</t>
        </is>
      </c>
      <c r="B3" s="34" t="inlineStr">
        <is>
          <t>Extraction of restored tooth</t>
        </is>
      </c>
      <c r="C3" s="34" t="inlineStr">
        <is>
          <t>No documentation of non-restorability</t>
        </is>
      </c>
      <c r="D3" s="34" t="inlineStr">
        <is>
          <t>Document with radiographs</t>
        </is>
      </c>
      <c r="E3" s="34" t="inlineStr"/>
    </row>
    <row r="4">
      <c r="A4" s="33" t="inlineStr">
        <is>
          <t>D7140</t>
        </is>
      </c>
      <c r="B4" s="33" t="inlineStr">
        <is>
          <t>Extraction + restoration same tooth</t>
        </is>
      </c>
      <c r="C4" s="33" t="inlineStr">
        <is>
          <t>Cannot extract and restore</t>
        </is>
      </c>
      <c r="D4" s="33" t="inlineStr">
        <is>
          <t>Choose one path</t>
        </is>
      </c>
      <c r="E4" s="33" t="inlineStr"/>
    </row>
    <row r="5">
      <c r="A5" s="34" t="inlineStr">
        <is>
          <t>D7140</t>
        </is>
      </c>
      <c r="B5" s="34" t="inlineStr">
        <is>
          <t>Simple code for surgical case</t>
        </is>
      </c>
      <c r="C5" s="34" t="inlineStr">
        <is>
          <t>Needed flap/bone removal</t>
        </is>
      </c>
      <c r="D5" s="34" t="inlineStr">
        <is>
          <t>Rebill as D7210</t>
        </is>
      </c>
      <c r="E5" s="34" t="inlineStr">
        <is>
          <t>D7210</t>
        </is>
      </c>
    </row>
    <row r="6">
      <c r="A6" s="33" t="inlineStr">
        <is>
          <t>D1110</t>
        </is>
      </c>
      <c r="B6" s="33" t="inlineStr">
        <is>
          <t>Prophy for perio maintenance patient</t>
        </is>
      </c>
      <c r="C6" s="33" t="inlineStr">
        <is>
          <t>Patient has perio history</t>
        </is>
      </c>
      <c r="D6" s="33" t="inlineStr">
        <is>
          <t>Switch to D4910</t>
        </is>
      </c>
      <c r="E6" s="33" t="inlineStr">
        <is>
          <t>D4910</t>
        </is>
      </c>
    </row>
    <row r="7">
      <c r="A7" s="34" t="inlineStr">
        <is>
          <t>D1110</t>
        </is>
      </c>
      <c r="B7" s="34" t="inlineStr">
        <is>
          <t>Prophy after active perio treatment</t>
        </is>
      </c>
      <c r="C7" s="34" t="inlineStr">
        <is>
          <t>Needs D4910, not prophy</t>
        </is>
      </c>
      <c r="D7" s="34" t="inlineStr">
        <is>
          <t>Use D4910</t>
        </is>
      </c>
      <c r="E7" s="34" t="inlineStr">
        <is>
          <t>D4910</t>
        </is>
      </c>
    </row>
    <row r="8">
      <c r="A8" s="33" t="inlineStr">
        <is>
          <t>D1110</t>
        </is>
      </c>
      <c r="B8" s="33" t="inlineStr">
        <is>
          <t>Prophy + SRP same day</t>
        </is>
      </c>
      <c r="C8" s="33" t="inlineStr">
        <is>
          <t>Cannot bill both</t>
        </is>
      </c>
      <c r="D8" s="33" t="inlineStr">
        <is>
          <t>Remove D1110, bill D4341</t>
        </is>
      </c>
      <c r="E8" s="33" t="inlineStr">
        <is>
          <t>D4341</t>
        </is>
      </c>
    </row>
    <row r="9">
      <c r="A9" s="34" t="inlineStr">
        <is>
          <t>D4910</t>
        </is>
      </c>
      <c r="B9" s="34" t="inlineStr">
        <is>
          <t>COMMON: No SRP history</t>
        </is>
      </c>
      <c r="C9" s="34" t="inlineStr">
        <is>
          <t>D4910 requires prior SRP</t>
        </is>
      </c>
      <c r="D9" s="34" t="inlineStr">
        <is>
          <t>Do D0180 + D4341 first</t>
        </is>
      </c>
      <c r="E9" s="34" t="inlineStr">
        <is>
          <t>D0180+D4341</t>
        </is>
      </c>
    </row>
    <row r="10">
      <c r="A10" s="33" t="inlineStr">
        <is>
          <t>D4910</t>
        </is>
      </c>
      <c r="B10" s="33" t="inlineStr">
        <is>
          <t>No D0180 on record</t>
        </is>
      </c>
      <c r="C10" s="33" t="inlineStr">
        <is>
          <t>Perio diagnosis needs eval</t>
        </is>
      </c>
      <c r="D10" s="33" t="inlineStr">
        <is>
          <t>Complete D0180 first</t>
        </is>
      </c>
      <c r="E10" s="33" t="inlineStr">
        <is>
          <t>D0180</t>
        </is>
      </c>
    </row>
    <row r="11">
      <c r="A11" s="34" t="inlineStr">
        <is>
          <t>D4910</t>
        </is>
      </c>
      <c r="B11" s="34" t="inlineStr">
        <is>
          <t>Billed as D1110</t>
        </is>
      </c>
      <c r="C11" s="34" t="inlineStr">
        <is>
          <t>Correct code is D4910</t>
        </is>
      </c>
      <c r="D11" s="34" t="inlineStr">
        <is>
          <t>Rebill as D4910</t>
        </is>
      </c>
      <c r="E11" s="34" t="inlineStr">
        <is>
          <t>D4910</t>
        </is>
      </c>
    </row>
    <row r="12">
      <c r="A12" s="33" t="inlineStr">
        <is>
          <t>D4341</t>
        </is>
      </c>
      <c r="B12" s="33" t="inlineStr">
        <is>
          <t>No D0180 in history</t>
        </is>
      </c>
      <c r="C12" s="33" t="inlineStr">
        <is>
          <t>SRP requires perio evaluation</t>
        </is>
      </c>
      <c r="D12" s="33" t="inlineStr">
        <is>
          <t>Complete D0180 first</t>
        </is>
      </c>
      <c r="E12" s="33" t="inlineStr">
        <is>
          <t>D0180</t>
        </is>
      </c>
    </row>
    <row r="13">
      <c r="A13" s="34" t="inlineStr">
        <is>
          <t>D4341</t>
        </is>
      </c>
      <c r="B13" s="34" t="inlineStr">
        <is>
          <t>SRP + prophy same day</t>
        </is>
      </c>
      <c r="C13" s="34" t="inlineStr">
        <is>
          <t>Cannot bill both</t>
        </is>
      </c>
      <c r="D13" s="34" t="inlineStr">
        <is>
          <t>Remove D1110</t>
        </is>
      </c>
      <c r="E13" s="34" t="inlineStr">
        <is>
          <t>D4341</t>
        </is>
      </c>
    </row>
    <row r="14">
      <c r="A14" s="33" t="inlineStr">
        <is>
          <t>D4342</t>
        </is>
      </c>
      <c r="B14" s="33" t="inlineStr">
        <is>
          <t>Limited SRP when full mouth needed</t>
        </is>
      </c>
      <c r="C14" s="33" t="inlineStr">
        <is>
          <t>Use D4341 for 4+/quad</t>
        </is>
      </c>
      <c r="D14" s="33" t="inlineStr">
        <is>
          <t>Switch to D4341</t>
        </is>
      </c>
      <c r="E14" s="33" t="inlineStr">
        <is>
          <t>D4341</t>
        </is>
      </c>
    </row>
    <row r="15">
      <c r="A15" s="34" t="inlineStr">
        <is>
          <t>D2740</t>
        </is>
      </c>
      <c r="B15" s="34" t="inlineStr">
        <is>
          <t>Crown within 5yr same tooth</t>
        </is>
      </c>
      <c r="C15" s="34" t="inlineStr">
        <is>
          <t>Insurance frequency limit</t>
        </is>
      </c>
      <c r="D15" s="34" t="inlineStr">
        <is>
          <t>Appeal with new condition docs</t>
        </is>
      </c>
      <c r="E15" s="34" t="inlineStr"/>
    </row>
    <row r="16">
      <c r="A16" s="33" t="inlineStr">
        <is>
          <t>D2740</t>
        </is>
      </c>
      <c r="B16" s="33" t="inlineStr">
        <is>
          <t>Crown without buildup</t>
        </is>
      </c>
      <c r="C16" s="33" t="inlineStr">
        <is>
          <t>Tooth needs core buildup</t>
        </is>
      </c>
      <c r="D16" s="33" t="inlineStr">
        <is>
          <t>Add D2950</t>
        </is>
      </c>
      <c r="E16" s="33" t="inlineStr">
        <is>
          <t>D2950</t>
        </is>
      </c>
    </row>
    <row r="17">
      <c r="A17" s="34" t="inlineStr">
        <is>
          <t>D2740</t>
        </is>
      </c>
      <c r="B17" s="34" t="inlineStr">
        <is>
          <t>Crown + extraction same tooth</t>
        </is>
      </c>
      <c r="C17" s="34" t="inlineStr">
        <is>
          <t>Cannot crown and extract</t>
        </is>
      </c>
      <c r="D17" s="34" t="inlineStr">
        <is>
          <t>Remove one</t>
        </is>
      </c>
      <c r="E17" s="34" t="inlineStr"/>
    </row>
    <row r="18">
      <c r="A18" s="33" t="inlineStr">
        <is>
          <t>D2950</t>
        </is>
      </c>
      <c r="B18" s="33" t="inlineStr">
        <is>
          <t>Buildup without crown</t>
        </is>
      </c>
      <c r="C18" s="33" t="inlineStr">
        <is>
          <t>Buildup requires crown</t>
        </is>
      </c>
      <c r="D18" s="33" t="inlineStr">
        <is>
          <t>Add D2740</t>
        </is>
      </c>
      <c r="E18" s="33" t="inlineStr">
        <is>
          <t>D2740</t>
        </is>
      </c>
    </row>
    <row r="19">
      <c r="A19" s="34" t="inlineStr">
        <is>
          <t>D2950</t>
        </is>
      </c>
      <c r="B19" s="34" t="inlineStr">
        <is>
          <t>Buildup on extracted tooth</t>
        </is>
      </c>
      <c r="C19" s="34" t="inlineStr">
        <is>
          <t>Cannot buildup extracted</t>
        </is>
      </c>
      <c r="D19" s="34" t="inlineStr">
        <is>
          <t>Remove buildup</t>
        </is>
      </c>
      <c r="E19" s="34" t="inlineStr"/>
    </row>
    <row r="20">
      <c r="A20" s="33" t="inlineStr">
        <is>
          <t>D6058</t>
        </is>
      </c>
      <c r="B20" s="33" t="inlineStr">
        <is>
          <t>COMMON: No D6010 in history</t>
        </is>
      </c>
      <c r="C20" s="33" t="inlineStr">
        <is>
          <t>Implant crown needs implant body</t>
        </is>
      </c>
      <c r="D20" s="33" t="inlineStr">
        <is>
          <t>Place D6010 first, wait 3-6mo</t>
        </is>
      </c>
      <c r="E20" s="33" t="inlineStr">
        <is>
          <t>D6010</t>
        </is>
      </c>
    </row>
    <row r="21">
      <c r="A21" s="34" t="inlineStr">
        <is>
          <t>D6058</t>
        </is>
      </c>
      <c r="B21" s="34" t="inlineStr">
        <is>
          <t>No abutment (D6056)</t>
        </is>
      </c>
      <c r="C21" s="34" t="inlineStr">
        <is>
          <t>Abutment required before crown</t>
        </is>
      </c>
      <c r="D21" s="34" t="inlineStr">
        <is>
          <t>Add D6056</t>
        </is>
      </c>
      <c r="E21" s="34" t="inlineStr">
        <is>
          <t>D6056</t>
        </is>
      </c>
    </row>
    <row r="22">
      <c r="A22" s="33" t="inlineStr">
        <is>
          <t>D6058</t>
        </is>
      </c>
      <c r="B22" s="33" t="inlineStr">
        <is>
          <t>Crown same day as implant</t>
        </is>
      </c>
      <c r="C22" s="33" t="inlineStr">
        <is>
          <t>Needs 3-6mo osseointegration</t>
        </is>
      </c>
      <c r="D22" s="33" t="inlineStr">
        <is>
          <t>Wait 3-6mo</t>
        </is>
      </c>
      <c r="E22" s="33" t="inlineStr"/>
    </row>
    <row r="23">
      <c r="A23" s="34" t="inlineStr">
        <is>
          <t>D6056</t>
        </is>
      </c>
      <c r="B23" s="34" t="inlineStr">
        <is>
          <t>Abutment without D6010</t>
        </is>
      </c>
      <c r="C23" s="34" t="inlineStr">
        <is>
          <t>Needs existing implant</t>
        </is>
      </c>
      <c r="D23" s="34" t="inlineStr">
        <is>
          <t>Place D6010 first</t>
        </is>
      </c>
      <c r="E23" s="34" t="inlineStr">
        <is>
          <t>D6010</t>
        </is>
      </c>
    </row>
    <row r="24">
      <c r="A24" s="33" t="inlineStr">
        <is>
          <t>D3330</t>
        </is>
      </c>
      <c r="B24" s="33" t="inlineStr">
        <is>
          <t>Molar root canal without crown</t>
        </is>
      </c>
      <c r="C24" s="33" t="inlineStr">
        <is>
          <t>High fracture risk</t>
        </is>
      </c>
      <c r="D24" s="33" t="inlineStr">
        <is>
          <t>Add D2740 to plan</t>
        </is>
      </c>
      <c r="E24" s="33" t="inlineStr">
        <is>
          <t>D2740</t>
        </is>
      </c>
    </row>
    <row r="25">
      <c r="A25" s="34" t="inlineStr">
        <is>
          <t>D3310</t>
        </is>
      </c>
      <c r="B25" s="34" t="inlineStr">
        <is>
          <t>Root canal + extraction same tooth</t>
        </is>
      </c>
      <c r="C25" s="34" t="inlineStr">
        <is>
          <t>Cannot do both</t>
        </is>
      </c>
      <c r="D25" s="34" t="inlineStr">
        <is>
          <t>Choose one</t>
        </is>
      </c>
      <c r="E25" s="34" t="inlineStr"/>
    </row>
    <row r="26">
      <c r="A26" s="33" t="inlineStr">
        <is>
          <t>D5110</t>
        </is>
      </c>
      <c r="B26" s="33" t="inlineStr">
        <is>
          <t>Complete denture with teeth present</t>
        </is>
      </c>
      <c r="C26" s="33" t="inlineStr">
        <is>
          <t>Need edentulous arch</t>
        </is>
      </c>
      <c r="D26" s="33" t="inlineStr">
        <is>
          <t>Extract remaining teeth</t>
        </is>
      </c>
      <c r="E26" s="33" t="inlineStr">
        <is>
          <t>D7140</t>
        </is>
      </c>
    </row>
    <row r="27">
      <c r="A27" s="34" t="inlineStr">
        <is>
          <t>D5130</t>
        </is>
      </c>
      <c r="B27" s="34" t="inlineStr">
        <is>
          <t>Immediate denture no extractions</t>
        </is>
      </c>
      <c r="C27" s="34" t="inlineStr">
        <is>
          <t>Extractions required same day</t>
        </is>
      </c>
      <c r="D27" s="34" t="inlineStr">
        <is>
          <t>Add D7140 same day</t>
        </is>
      </c>
      <c r="E27" s="34" t="inlineStr">
        <is>
          <t>D7140</t>
        </is>
      </c>
    </row>
    <row r="28">
      <c r="A28" s="33" t="inlineStr">
        <is>
          <t>D6080</t>
        </is>
      </c>
      <c r="B28" s="33" t="inlineStr">
        <is>
          <t>Implant maintenance, no implant</t>
        </is>
      </c>
      <c r="C28" s="33" t="inlineStr">
        <is>
          <t>Requires existing implant</t>
        </is>
      </c>
      <c r="D28" s="33" t="inlineStr">
        <is>
          <t>Verify implant. Use D1110 if none</t>
        </is>
      </c>
      <c r="E28" s="33" t="inlineStr"/>
    </row>
    <row r="29">
      <c r="A29" s="34" t="inlineStr">
        <is>
          <t>D0150</t>
        </is>
      </c>
      <c r="B29" s="34" t="inlineStr">
        <is>
          <t>Two exams same day</t>
        </is>
      </c>
      <c r="C29" s="34" t="inlineStr">
        <is>
          <t>Cannot bill D0150+D0120</t>
        </is>
      </c>
      <c r="D29" s="34" t="inlineStr">
        <is>
          <t>Choose one</t>
        </is>
      </c>
      <c r="E29" s="34" t="inlineStr"/>
    </row>
    <row r="30">
      <c r="A30" s="33" t="inlineStr">
        <is>
          <t>D0120</t>
        </is>
      </c>
      <c r="B30" s="33" t="inlineStr">
        <is>
          <t>Patient not seen &gt;36mo</t>
        </is>
      </c>
      <c r="C30" s="33" t="inlineStr">
        <is>
          <t>Use D0150 for new/long-absent</t>
        </is>
      </c>
      <c r="D30" s="33" t="inlineStr">
        <is>
          <t>Use D0150</t>
        </is>
      </c>
      <c r="E30" s="33" t="inlineStr">
        <is>
          <t>D0150</t>
        </is>
      </c>
    </row>
    <row r="31">
      <c r="A31" s="34" t="inlineStr">
        <is>
          <t>*</t>
        </is>
      </c>
      <c r="B31" s="34" t="inlineStr">
        <is>
          <t>UHC: Frequency limit</t>
        </is>
      </c>
      <c r="C31" s="34" t="inlineStr">
        <is>
          <t>Plan limits procedure per period</t>
        </is>
      </c>
      <c r="D31" s="34" t="inlineStr">
        <is>
          <t>Check plan. Appeal with necessity</t>
        </is>
      </c>
      <c r="E31" s="34" t="inlineStr"/>
    </row>
    <row r="32">
      <c r="A32" s="33" t="inlineStr">
        <is>
          <t>*</t>
        </is>
      </c>
      <c r="B32" s="33" t="inlineStr">
        <is>
          <t>UHC: Pre-auth not obtained</t>
        </is>
      </c>
      <c r="C32" s="33" t="inlineStr">
        <is>
          <t>Plan requires prior authorization</t>
        </is>
      </c>
      <c r="D32" s="33" t="inlineStr">
        <is>
          <t>Submit retro-auth or resubmit</t>
        </is>
      </c>
      <c r="E32" s="33" t="inlineStr"/>
    </row>
    <row r="33">
      <c r="A33" s="34" t="inlineStr">
        <is>
          <t>*</t>
        </is>
      </c>
      <c r="B33" s="34" t="inlineStr">
        <is>
          <t>UHC: Alternative benefit</t>
        </is>
      </c>
      <c r="C33" s="34" t="inlineStr">
        <is>
          <t>Paid for less expensive alt</t>
        </is>
      </c>
      <c r="D33" s="34" t="inlineStr">
        <is>
          <t>Accept or appeal with necessity</t>
        </is>
      </c>
      <c r="E33" s="34" t="inlineStr"/>
    </row>
    <row r="34">
      <c r="A34" s="33" t="inlineStr">
        <is>
          <t>*</t>
        </is>
      </c>
      <c r="B34" s="33" t="inlineStr">
        <is>
          <t>UHC: Missing tooth clause</t>
        </is>
      </c>
      <c r="C34" s="33" t="inlineStr">
        <is>
          <t>Tooth missing before coverage</t>
        </is>
      </c>
      <c r="D34" s="33" t="inlineStr">
        <is>
          <t>Verify effective date</t>
        </is>
      </c>
      <c r="E34" s="33" t="inlineStr"/>
    </row>
    <row r="35">
      <c r="A35" s="34" t="inlineStr">
        <is>
          <t>*</t>
        </is>
      </c>
      <c r="B35" s="34" t="inlineStr">
        <is>
          <t>UHC: Benefit max exhausted</t>
        </is>
      </c>
      <c r="C35" s="34" t="inlineStr">
        <is>
          <t>Annual max reached</t>
        </is>
      </c>
      <c r="D35" s="34" t="inlineStr">
        <is>
          <t>Schedule for next period</t>
        </is>
      </c>
      <c r="E35" s="34" t="inlineStr"/>
    </row>
    <row r="36">
      <c r="A36" s="33" t="inlineStr">
        <is>
          <t>*</t>
        </is>
      </c>
      <c r="B36" s="33" t="inlineStr">
        <is>
          <t>UHC: Waiting period</t>
        </is>
      </c>
      <c r="C36" s="33" t="inlineStr">
        <is>
          <t>Major procedure waiting period</t>
        </is>
      </c>
      <c r="D36" s="33" t="inlineStr">
        <is>
          <t>Schedule after waiting period</t>
        </is>
      </c>
      <c r="E36" s="33" t="inlineStr"/>
    </row>
    <row r="37">
      <c r="A37" s="34" t="inlineStr">
        <is>
          <t>*</t>
        </is>
      </c>
      <c r="B37" s="34" t="inlineStr">
        <is>
          <t>UHC: Dependent age limit</t>
        </is>
      </c>
      <c r="C37" s="34" t="inlineStr">
        <is>
          <t>Dependent exceeded age</t>
        </is>
      </c>
      <c r="D37" s="34" t="inlineStr">
        <is>
          <t>Verify eligibility</t>
        </is>
      </c>
      <c r="E37" s="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03366"/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20" customWidth="1" min="4" max="4"/>
    <col width="60" customWidth="1" min="5" max="5"/>
  </cols>
  <sheetData>
    <row r="1">
      <c r="A1" s="32" t="inlineStr">
        <is>
          <t>Code</t>
        </is>
      </c>
      <c r="B1" s="32" t="inlineStr">
        <is>
          <t>UHC Frequency</t>
        </is>
      </c>
      <c r="C1" s="32" t="inlineStr">
        <is>
          <t>Pre-Auth Required</t>
        </is>
      </c>
      <c r="D1" s="32" t="inlineStr">
        <is>
          <t>Age Limit</t>
        </is>
      </c>
      <c r="E1" s="32" t="inlineStr">
        <is>
          <t>UHC Notes</t>
        </is>
      </c>
    </row>
    <row r="2">
      <c r="A2" s="33" t="inlineStr">
        <is>
          <t>D0120</t>
        </is>
      </c>
      <c r="B2" s="33" t="inlineStr">
        <is>
          <t>2/yr</t>
        </is>
      </c>
      <c r="C2" s="33" t="inlineStr">
        <is>
          <t>No</t>
        </is>
      </c>
      <c r="D2" s="33" t="inlineStr"/>
      <c r="E2" s="33" t="inlineStr">
        <is>
          <t>UHC covers 2x/yr. Usually with D1110.</t>
        </is>
      </c>
    </row>
    <row r="3">
      <c r="A3" s="34" t="inlineStr">
        <is>
          <t>D0150</t>
        </is>
      </c>
      <c r="B3" s="34" t="inlineStr">
        <is>
          <t>1/3yr</t>
        </is>
      </c>
      <c r="C3" s="34" t="inlineStr">
        <is>
          <t>No</t>
        </is>
      </c>
      <c r="D3" s="34" t="inlineStr"/>
      <c r="E3" s="34" t="inlineStr">
        <is>
          <t>New patient comprehensive.</t>
        </is>
      </c>
    </row>
    <row r="4">
      <c r="A4" s="33" t="inlineStr">
        <is>
          <t>D0180</t>
        </is>
      </c>
      <c r="B4" s="33" t="inlineStr">
        <is>
          <t>1/2yr</t>
        </is>
      </c>
      <c r="C4" s="33" t="inlineStr">
        <is>
          <t>No</t>
        </is>
      </c>
      <c r="D4" s="33" t="inlineStr"/>
      <c r="E4" s="33" t="inlineStr">
        <is>
          <t>Required before SRP.</t>
        </is>
      </c>
    </row>
    <row r="5">
      <c r="A5" s="34" t="inlineStr">
        <is>
          <t>D0210</t>
        </is>
      </c>
      <c r="B5" s="34" t="inlineStr">
        <is>
          <t>1/3yr</t>
        </is>
      </c>
      <c r="C5" s="34" t="inlineStr">
        <is>
          <t>No</t>
        </is>
      </c>
      <c r="D5" s="34" t="inlineStr"/>
      <c r="E5" s="34" t="inlineStr">
        <is>
          <t>Full mouth X-rays. Same day as D0150 OK.</t>
        </is>
      </c>
    </row>
    <row r="6">
      <c r="A6" s="33" t="inlineStr">
        <is>
          <t>D0330</t>
        </is>
      </c>
      <c r="B6" s="33" t="inlineStr">
        <is>
          <t>1/3yr</t>
        </is>
      </c>
      <c r="C6" s="33" t="inlineStr">
        <is>
          <t>No</t>
        </is>
      </c>
      <c r="D6" s="33" t="inlineStr"/>
      <c r="E6" s="33" t="inlineStr">
        <is>
          <t>Panoramic. Not same day as D0210.</t>
        </is>
      </c>
    </row>
    <row r="7">
      <c r="A7" s="34" t="inlineStr">
        <is>
          <t>D1110</t>
        </is>
      </c>
      <c r="B7" s="34" t="inlineStr">
        <is>
          <t>2/yr</t>
        </is>
      </c>
      <c r="C7" s="34" t="inlineStr">
        <is>
          <t>No</t>
        </is>
      </c>
      <c r="D7" s="34" t="inlineStr"/>
      <c r="E7" s="34" t="inlineStr">
        <is>
          <t>Only for perio-healthy patients.</t>
        </is>
      </c>
    </row>
    <row r="8">
      <c r="A8" s="33" t="inlineStr">
        <is>
          <t>D2391</t>
        </is>
      </c>
      <c r="B8" s="33" t="inlineStr">
        <is>
          <t>Varies</t>
        </is>
      </c>
      <c r="C8" s="33" t="inlineStr">
        <is>
          <t>No</t>
        </is>
      </c>
      <c r="D8" s="33" t="inlineStr"/>
      <c r="E8" s="33" t="inlineStr">
        <is>
          <t>Alt benefit may apply on posterior.</t>
        </is>
      </c>
    </row>
    <row r="9">
      <c r="A9" s="34" t="inlineStr">
        <is>
          <t>D2392</t>
        </is>
      </c>
      <c r="B9" s="34" t="inlineStr">
        <is>
          <t>Varies</t>
        </is>
      </c>
      <c r="C9" s="34" t="inlineStr">
        <is>
          <t>No</t>
        </is>
      </c>
      <c r="D9" s="34" t="inlineStr"/>
      <c r="E9" s="34" t="inlineStr">
        <is>
          <t>Alt benefit possible.</t>
        </is>
      </c>
    </row>
    <row r="10">
      <c r="A10" s="33" t="inlineStr">
        <is>
          <t>D2393</t>
        </is>
      </c>
      <c r="B10" s="33" t="inlineStr">
        <is>
          <t>Varies</t>
        </is>
      </c>
      <c r="C10" s="33" t="inlineStr">
        <is>
          <t>No</t>
        </is>
      </c>
      <c r="D10" s="33" t="inlineStr"/>
      <c r="E10" s="33" t="inlineStr">
        <is>
          <t>Large composite - consider crown.</t>
        </is>
      </c>
    </row>
    <row r="11">
      <c r="A11" s="34" t="inlineStr">
        <is>
          <t>D2394</t>
        </is>
      </c>
      <c r="B11" s="34" t="inlineStr">
        <is>
          <t>Varies</t>
        </is>
      </c>
      <c r="C11" s="34" t="inlineStr">
        <is>
          <t>No</t>
        </is>
      </c>
      <c r="D11" s="34" t="inlineStr"/>
      <c r="E11" s="34" t="inlineStr">
        <is>
          <t>4+ surfaces - necessity may be questioned.</t>
        </is>
      </c>
    </row>
    <row r="12">
      <c r="A12" s="33" t="inlineStr">
        <is>
          <t>D2740</t>
        </is>
      </c>
      <c r="B12" s="33" t="inlineStr">
        <is>
          <t>1/5yr/tooth</t>
        </is>
      </c>
      <c r="C12" s="33" t="inlineStr">
        <is>
          <t>Depends</t>
        </is>
      </c>
      <c r="D12" s="33" t="inlineStr"/>
      <c r="E12" s="33" t="inlineStr">
        <is>
          <t>Pre-auth may be needed for posterior.</t>
        </is>
      </c>
    </row>
    <row r="13">
      <c r="A13" s="34" t="inlineStr">
        <is>
          <t>D2750</t>
        </is>
      </c>
      <c r="B13" s="34" t="inlineStr">
        <is>
          <t>1/5yr/tooth</t>
        </is>
      </c>
      <c r="C13" s="34" t="inlineStr">
        <is>
          <t>Depends</t>
        </is>
      </c>
      <c r="D13" s="34" t="inlineStr"/>
      <c r="E13" s="34" t="inlineStr">
        <is>
          <t>PFM typically better coverage.</t>
        </is>
      </c>
    </row>
    <row r="14">
      <c r="A14" s="33" t="inlineStr">
        <is>
          <t>D2950</t>
        </is>
      </c>
      <c r="B14" s="33" t="inlineStr">
        <is>
          <t>Bundled</t>
        </is>
      </c>
      <c r="C14" s="33" t="inlineStr">
        <is>
          <t>No</t>
        </is>
      </c>
      <c r="D14" s="33" t="inlineStr"/>
      <c r="E14" s="33" t="inlineStr">
        <is>
          <t>Must be with crown.</t>
        </is>
      </c>
    </row>
    <row r="15">
      <c r="A15" s="34" t="inlineStr">
        <is>
          <t>D2952</t>
        </is>
      </c>
      <c r="B15" s="34" t="inlineStr">
        <is>
          <t>Bundled</t>
        </is>
      </c>
      <c r="C15" s="34" t="inlineStr">
        <is>
          <t>Depends</t>
        </is>
      </c>
      <c r="D15" s="34" t="inlineStr"/>
      <c r="E15" s="34" t="inlineStr">
        <is>
          <t>Requires root canal + crown.</t>
        </is>
      </c>
    </row>
    <row r="16">
      <c r="A16" s="33" t="inlineStr">
        <is>
          <t>D3310</t>
        </is>
      </c>
      <c r="B16" s="33" t="inlineStr">
        <is>
          <t>Varies</t>
        </is>
      </c>
      <c r="C16" s="33" t="inlineStr">
        <is>
          <t>Depends</t>
        </is>
      </c>
      <c r="D16" s="33" t="inlineStr"/>
      <c r="E16" s="33" t="inlineStr">
        <is>
          <t>Anterior root canal.</t>
        </is>
      </c>
    </row>
    <row r="17">
      <c r="A17" s="34" t="inlineStr">
        <is>
          <t>D3320</t>
        </is>
      </c>
      <c r="B17" s="34" t="inlineStr">
        <is>
          <t>Varies</t>
        </is>
      </c>
      <c r="C17" s="34" t="inlineStr">
        <is>
          <t>Depends</t>
        </is>
      </c>
      <c r="D17" s="34" t="inlineStr"/>
      <c r="E17" s="34" t="inlineStr">
        <is>
          <t>Bicuspid root canal.</t>
        </is>
      </c>
    </row>
    <row r="18">
      <c r="A18" s="33" t="inlineStr">
        <is>
          <t>D3330</t>
        </is>
      </c>
      <c r="B18" s="33" t="inlineStr">
        <is>
          <t>Varies</t>
        </is>
      </c>
      <c r="C18" s="33" t="inlineStr">
        <is>
          <t>May be</t>
        </is>
      </c>
      <c r="D18" s="33" t="inlineStr"/>
      <c r="E18" s="33" t="inlineStr">
        <is>
          <t>Molar root canal. Crown recommended.</t>
        </is>
      </c>
    </row>
    <row r="19">
      <c r="A19" s="34" t="inlineStr">
        <is>
          <t>D4341</t>
        </is>
      </c>
      <c r="B19" s="34" t="inlineStr">
        <is>
          <t>1/2yr/quad</t>
        </is>
      </c>
      <c r="C19" s="34" t="inlineStr">
        <is>
          <t>May be</t>
        </is>
      </c>
      <c r="D19" s="34" t="inlineStr"/>
      <c r="E19" s="34" t="inlineStr">
        <is>
          <t>D0180 must be on record.</t>
        </is>
      </c>
    </row>
    <row r="20">
      <c r="A20" s="33" t="inlineStr">
        <is>
          <t>D4342</t>
        </is>
      </c>
      <c r="B20" s="33" t="inlineStr">
        <is>
          <t>1/2yr/quad</t>
        </is>
      </c>
      <c r="C20" s="33" t="inlineStr">
        <is>
          <t>May be</t>
        </is>
      </c>
      <c r="D20" s="33" t="inlineStr"/>
      <c r="E20" s="33" t="inlineStr">
        <is>
          <t>Limited SRP.</t>
        </is>
      </c>
    </row>
    <row r="21">
      <c r="A21" s="34" t="inlineStr">
        <is>
          <t>D4910</t>
        </is>
      </c>
      <c r="B21" s="34" t="inlineStr">
        <is>
          <t>3-4/yr</t>
        </is>
      </c>
      <c r="C21" s="34" t="inlineStr">
        <is>
          <t>No</t>
        </is>
      </c>
      <c r="D21" s="34" t="inlineStr"/>
      <c r="E21" s="34" t="inlineStr">
        <is>
          <t>After active SRP. Rejected if no SRP history.</t>
        </is>
      </c>
    </row>
    <row r="22">
      <c r="A22" s="33" t="inlineStr">
        <is>
          <t>D5110</t>
        </is>
      </c>
      <c r="B22" s="33" t="inlineStr">
        <is>
          <t>1/5yr</t>
        </is>
      </c>
      <c r="C22" s="33" t="inlineStr">
        <is>
          <t>REQUIRED</t>
        </is>
      </c>
      <c r="D22" s="33" t="inlineStr"/>
      <c r="E22" s="33" t="inlineStr">
        <is>
          <t>Complete upper denture.</t>
        </is>
      </c>
    </row>
    <row r="23">
      <c r="A23" s="34" t="inlineStr">
        <is>
          <t>D5120</t>
        </is>
      </c>
      <c r="B23" s="34" t="inlineStr">
        <is>
          <t>1/5yr</t>
        </is>
      </c>
      <c r="C23" s="34" t="inlineStr">
        <is>
          <t>REQUIRED</t>
        </is>
      </c>
      <c r="D23" s="34" t="inlineStr"/>
      <c r="E23" s="34" t="inlineStr">
        <is>
          <t>Complete lower denture.</t>
        </is>
      </c>
    </row>
    <row r="24">
      <c r="A24" s="33" t="inlineStr">
        <is>
          <t>D5130</t>
        </is>
      </c>
      <c r="B24" s="33" t="inlineStr">
        <is>
          <t>1/5yr</t>
        </is>
      </c>
      <c r="C24" s="33" t="inlineStr">
        <is>
          <t>REQUIRED</t>
        </is>
      </c>
      <c r="D24" s="33" t="inlineStr"/>
      <c r="E24" s="33" t="inlineStr">
        <is>
          <t>Extractions required same day.</t>
        </is>
      </c>
    </row>
    <row r="25">
      <c r="A25" s="34" t="inlineStr">
        <is>
          <t>D5140</t>
        </is>
      </c>
      <c r="B25" s="34" t="inlineStr">
        <is>
          <t>1/5yr</t>
        </is>
      </c>
      <c r="C25" s="34" t="inlineStr">
        <is>
          <t>REQUIRED</t>
        </is>
      </c>
      <c r="D25" s="34" t="inlineStr"/>
      <c r="E25" s="34" t="inlineStr">
        <is>
          <t>Extractions required same day.</t>
        </is>
      </c>
    </row>
    <row r="26">
      <c r="A26" s="33" t="inlineStr">
        <is>
          <t>D5213</t>
        </is>
      </c>
      <c r="B26" s="33" t="inlineStr">
        <is>
          <t>1/5yr</t>
        </is>
      </c>
      <c r="C26" s="33" t="inlineStr">
        <is>
          <t>May be</t>
        </is>
      </c>
      <c r="D26" s="33" t="inlineStr"/>
      <c r="E26" s="33" t="inlineStr">
        <is>
          <t>Partial upper.</t>
        </is>
      </c>
    </row>
    <row r="27">
      <c r="A27" s="34" t="inlineStr">
        <is>
          <t>D5214</t>
        </is>
      </c>
      <c r="B27" s="34" t="inlineStr">
        <is>
          <t>1/5yr</t>
        </is>
      </c>
      <c r="C27" s="34" t="inlineStr">
        <is>
          <t>May be</t>
        </is>
      </c>
      <c r="D27" s="34" t="inlineStr"/>
      <c r="E27" s="34" t="inlineStr">
        <is>
          <t>Partial lower.</t>
        </is>
      </c>
    </row>
    <row r="28">
      <c r="A28" s="33" t="inlineStr">
        <is>
          <t>D6010</t>
        </is>
      </c>
      <c r="B28" s="33" t="inlineStr">
        <is>
          <t>Varies</t>
        </is>
      </c>
      <c r="C28" s="33" t="inlineStr">
        <is>
          <t>REQUIRED</t>
        </is>
      </c>
      <c r="D28" s="33" t="inlineStr">
        <is>
          <t>&lt;18</t>
        </is>
      </c>
      <c r="E28" s="33" t="inlineStr">
        <is>
          <t>Pre-auth required. May have lifetime max.</t>
        </is>
      </c>
    </row>
    <row r="29">
      <c r="A29" s="34" t="inlineStr">
        <is>
          <t>D6056</t>
        </is>
      </c>
      <c r="B29" s="34" t="inlineStr">
        <is>
          <t>Varies</t>
        </is>
      </c>
      <c r="C29" s="34" t="inlineStr">
        <is>
          <t>REQUIRED</t>
        </is>
      </c>
      <c r="D29" s="34" t="inlineStr"/>
      <c r="E29" s="34" t="inlineStr">
        <is>
          <t>Bundled with implant plan.</t>
        </is>
      </c>
    </row>
    <row r="30">
      <c r="A30" s="33" t="inlineStr">
        <is>
          <t>D6058</t>
        </is>
      </c>
      <c r="B30" s="33" t="inlineStr">
        <is>
          <t>Varies</t>
        </is>
      </c>
      <c r="C30" s="33" t="inlineStr">
        <is>
          <t>REQUIRED</t>
        </is>
      </c>
      <c r="D30" s="33" t="inlineStr"/>
      <c r="E30" s="33" t="inlineStr">
        <is>
          <t>Must have D6010 + D6056 in history.</t>
        </is>
      </c>
    </row>
    <row r="31">
      <c r="A31" s="34" t="inlineStr">
        <is>
          <t>D6080</t>
        </is>
      </c>
      <c r="B31" s="34" t="inlineStr">
        <is>
          <t>2/yr</t>
        </is>
      </c>
      <c r="C31" s="34" t="inlineStr">
        <is>
          <t>No</t>
        </is>
      </c>
      <c r="D31" s="34" t="inlineStr"/>
      <c r="E31" s="34" t="inlineStr">
        <is>
          <t>Distinct from D1110.</t>
        </is>
      </c>
    </row>
    <row r="32">
      <c r="A32" s="33" t="inlineStr">
        <is>
          <t>D7110</t>
        </is>
      </c>
      <c r="B32" s="33" t="inlineStr">
        <is>
          <t>Varies</t>
        </is>
      </c>
      <c r="C32" s="33" t="inlineStr">
        <is>
          <t>No</t>
        </is>
      </c>
      <c r="D32" s="33" t="inlineStr"/>
      <c r="E32" s="33" t="inlineStr">
        <is>
          <t>Surgical extraction.</t>
        </is>
      </c>
    </row>
    <row r="33">
      <c r="A33" s="34" t="inlineStr">
        <is>
          <t>D7140</t>
        </is>
      </c>
      <c r="B33" s="34" t="inlineStr">
        <is>
          <t>Varies</t>
        </is>
      </c>
      <c r="C33" s="34" t="inlineStr">
        <is>
          <t>No</t>
        </is>
      </c>
      <c r="D33" s="34" t="inlineStr"/>
      <c r="E33" s="34" t="inlineStr">
        <is>
          <t>Simple extraction. Cannot restore same tooth.</t>
        </is>
      </c>
    </row>
    <row r="34">
      <c r="A34" s="33" t="inlineStr">
        <is>
          <t>D7210</t>
        </is>
      </c>
      <c r="B34" s="33" t="inlineStr">
        <is>
          <t>Varies</t>
        </is>
      </c>
      <c r="C34" s="33" t="inlineStr">
        <is>
          <t>No</t>
        </is>
      </c>
      <c r="D34" s="33" t="inlineStr"/>
      <c r="E34" s="33" t="inlineStr">
        <is>
          <t>Surgical with flap. Higher reimbursement.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88888"/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0" t="inlineStr">
        <is>
          <t>DENTAL CODE VERIFICATION SYSTEM — User Guide</t>
        </is>
      </c>
    </row>
    <row r="2">
      <c r="A2" s="41" t="inlineStr"/>
    </row>
    <row r="3">
      <c r="A3" s="42" t="inlineStr">
        <is>
          <t>QUICK START:</t>
        </is>
      </c>
    </row>
    <row r="4">
      <c r="A4" s="41" t="inlineStr"/>
    </row>
    <row r="5">
      <c r="A5" s="43" t="inlineStr">
        <is>
          <t>1. Go to 'Code Lookup' sheet.</t>
        </is>
      </c>
    </row>
    <row r="6">
      <c r="A6" s="43" t="inlineStr">
        <is>
          <t>2. Click B5 and pick/type a denied code (e.g., D6058) from the dropdown.</t>
        </is>
      </c>
    </row>
    <row r="7">
      <c r="A7" s="43" t="inlineStr">
        <is>
          <t>3. Results auto-populate — no buttons to click.</t>
        </is>
      </c>
    </row>
    <row r="8">
      <c r="A8" s="41" t="inlineStr"/>
    </row>
    <row r="9">
      <c r="A9" s="44" t="inlineStr">
        <is>
          <t xml:space="preserve">   ❌ DENIAL ANALYSIS — Why denied + what to do instead</t>
        </is>
      </c>
    </row>
    <row r="10">
      <c r="A10" s="45" t="inlineStr">
        <is>
          <t xml:space="preserve">   ✅ HISTORY CHECK — Enter up to 5 history codes in rows 23-27</t>
        </is>
      </c>
    </row>
    <row r="11">
      <c r="A11" s="45" t="inlineStr">
        <is>
          <t xml:space="preserve">      Col C shows conflicts, then FINAL VERDICT at bottom of the section</t>
        </is>
      </c>
    </row>
    <row r="12">
      <c r="A12" s="43" t="inlineStr">
        <is>
          <t xml:space="preserve">   📋 BEFORE — Required prior procedures</t>
        </is>
      </c>
    </row>
    <row r="13">
      <c r="A13" s="43" t="inlineStr">
        <is>
          <t xml:space="preserve">   🚫 CONFLICTS — Codes that can't be done together</t>
        </is>
      </c>
    </row>
    <row r="14">
      <c r="A14" s="43" t="inlineStr">
        <is>
          <t xml:space="preserve">   ➡️ AFTER — What should follow</t>
        </is>
      </c>
    </row>
    <row r="15">
      <c r="A15" s="43" t="inlineStr">
        <is>
          <t xml:space="preserve">   📌 GUIDELINES — Clinical notes</t>
        </is>
      </c>
    </row>
    <row r="16">
      <c r="A16" s="46" t="inlineStr">
        <is>
          <t xml:space="preserve">   🏥 UHC NOTES — UHC-specific policies, frequency, pre-auth</t>
        </is>
      </c>
    </row>
    <row r="17">
      <c r="A17" s="41" t="inlineStr"/>
    </row>
    <row r="18">
      <c r="A18" s="42" t="inlineStr">
        <is>
          <t>FILTER FORMULAS NOTE:</t>
        </is>
      </c>
    </row>
    <row r="19">
      <c r="A19" s="43" t="inlineStr">
        <is>
          <t xml:space="preserve">   The denial analysis, required history, and other sections use Excel FILTER</t>
        </is>
      </c>
    </row>
    <row r="20">
      <c r="A20" s="43" t="inlineStr">
        <is>
          <t xml:space="preserve">   formulas that spill results into rows below. These require Excel 365 or Excel</t>
        </is>
      </c>
    </row>
    <row r="21">
      <c r="A21" s="43" t="inlineStr">
        <is>
          <t xml:space="preserve">   2021+. If you see #SPILL! errors, clear any content blocking the spill range.</t>
        </is>
      </c>
    </row>
    <row r="22">
      <c r="A22" s="41" t="inlineStr"/>
    </row>
    <row r="23">
      <c r="A23" s="47" t="inlineStr">
        <is>
          <t>Available codes (33): D0120, D0150, D0180, D0210, D0330, D1110, D2391, D2392, D2393, D2394, D2740, D2750, D2950, D2952, D3310, D3320, D3330, D4341, D4342, D4910, D5110, D5120, D5130, D5140, D5213, D5214, D6010, D6056, D6058, D6080, D7110, D7140, D7210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2026-07-21T12:37:07Z</dcterms:created>
  <dcterms:modified xmlns:dcterms="http://purl.org/dc/terms/" xmlns:xsi="http://www.w3.org/2001/XMLSchema-instance" xsi:type="dcterms:W3CDTF">2026-07-21T12:37:07Z</dcterms:modified>
</cp:coreProperties>
</file>